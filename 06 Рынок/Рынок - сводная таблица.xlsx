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cuments\AIoT_Vault_v2\AIoT Vault\06 Рынок\"/>
    </mc:Choice>
  </mc:AlternateContent>
  <xr:revisionPtr revIDLastSave="0" documentId="11_6EDC6A2115B5C2F211D6C03991D08224C685A625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Выводы" sheetId="1" r:id="rId1"/>
    <sheet name="Сводная" sheetId="2" r:id="rId2"/>
    <sheet name="Требования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3" l="1"/>
  <c r="I13" i="3"/>
  <c r="I12" i="3"/>
  <c r="I11" i="3"/>
  <c r="I10" i="3"/>
  <c r="I9" i="3"/>
  <c r="I8" i="3"/>
  <c r="I7" i="3"/>
  <c r="I6" i="3"/>
  <c r="I5" i="3"/>
  <c r="I4" i="3"/>
  <c r="I3" i="3"/>
  <c r="I2" i="3"/>
  <c r="B8" i="1"/>
  <c r="B7" i="1"/>
  <c r="B6" i="1"/>
  <c r="B5" i="1"/>
  <c r="B4" i="1"/>
</calcChain>
</file>

<file path=xl/sharedStrings.xml><?xml version="1.0" encoding="utf-8"?>
<sst xmlns="http://schemas.openxmlformats.org/spreadsheetml/2006/main" count="666" uniqueCount="189">
  <si>
    <t>№</t>
  </si>
  <si>
    <t>Устройство</t>
  </si>
  <si>
    <t>Ближе к</t>
  </si>
  <si>
    <t>Цена</t>
  </si>
  <si>
    <t>Расхождение</t>
  </si>
  <si>
    <t>Статус</t>
  </si>
  <si>
    <t>Как должно быть по стандарту</t>
  </si>
  <si>
    <t>Документ</t>
  </si>
  <si>
    <t>Пункт</t>
  </si>
  <si>
    <t>Стр. PDF</t>
  </si>
  <si>
    <t>Ссылка на документ</t>
  </si>
  <si>
    <t>Код требования</t>
  </si>
  <si>
    <t>Аналоги Device 1 – Пассивные UHF RFID-метки и датчики: отражают сигнал считывателя, но без накопителя и по протоколу Gen2</t>
  </si>
  <si>
    <t>Микрон M2046/1R6</t>
  </si>
  <si>
    <t>Device 1</t>
  </si>
  <si>
    <t>15 ₽</t>
  </si>
  <si>
    <t>нет накопителя</t>
  </si>
  <si>
    <t>расхождение</t>
  </si>
  <si>
    <t>У Device 1 есть накопитель (конденсатор) и PMU; без накопителя – только класс A из TR 38.848</t>
  </si>
  <si>
    <t>TR 38.769 V20.0.0</t>
  </si>
  <si>
    <t>5.1</t>
  </si>
  <si>
    <t>TR 38.769, п. 5.1</t>
  </si>
  <si>
    <t>STOR</t>
  </si>
  <si>
    <t>дальность ≤5 м</t>
  </si>
  <si>
    <t>Целевая дальность: Device 1 – 15 / 10 м, 2a – 25 / 15 м, 2b – 50 / 40 м (D1T1 / D2T2)</t>
  </si>
  <si>
    <t>4.1</t>
  </si>
  <si>
    <t>TR 38.769, п. 4.1</t>
  </si>
  <si>
    <t>RANGE</t>
  </si>
  <si>
    <t>протокол EPC Gen2</t>
  </si>
  <si>
    <t>Случайный доступ по процедуре A-IoT (Msg1 с 16-битным случайным номером и т. д.), а не Gen2, BLE, Wi-Fi или собственный протокол</t>
  </si>
  <si>
    <t>6.3.4</t>
  </si>
  <si>
    <t>TR 38.769, п. 6.3.4</t>
  </si>
  <si>
    <t>PROTO</t>
  </si>
  <si>
    <t>нелицензируемый спектр 860–960 МГц</t>
  </si>
  <si>
    <t>Лицензированный спектр оператора: FDD FR1, пример – n8</t>
  </si>
  <si>
    <t>6.7.1.1</t>
  </si>
  <si>
    <t>TR 38.769, п. 6.7.1.1</t>
  </si>
  <si>
    <t>SPEC</t>
  </si>
  <si>
    <t>ISBC Labels 87×27</t>
  </si>
  <si>
    <t>18 ₽</t>
  </si>
  <si>
    <t>СИЛТЭК S-Tag PP-0355</t>
  </si>
  <si>
    <t>24 ₽</t>
  </si>
  <si>
    <t>дальность до 14 м – чуть ниже 15 м (D1T1), выше 10 м (D2T2)</t>
  </si>
  <si>
    <t>Perfect ID PID-FOM7030</t>
  </si>
  <si>
    <t>102 ₽</t>
  </si>
  <si>
    <t>метка для установки на металл</t>
  </si>
  <si>
    <t>примечание</t>
  </si>
  <si>
    <t>– (не требование стандарта)</t>
  </si>
  <si>
    <t>Syndicate Sense-T 9928</t>
  </si>
  <si>
    <t>269 ₽</t>
  </si>
  <si>
    <t>дальность до 7 м</t>
  </si>
  <si>
    <t>есть датчик</t>
  </si>
  <si>
    <t>Микрон «Балчуг» M-Tag 3D</t>
  </si>
  <si>
    <t>275 ₽</t>
  </si>
  <si>
    <t>дальность 15 м – совпадает с целью</t>
  </si>
  <si>
    <t>соответствует</t>
  </si>
  <si>
    <t>Целевая дальность Device 1 – 15 м (D1T1)</t>
  </si>
  <si>
    <t>RANGE_OK</t>
  </si>
  <si>
    <t>Микрон M25v4</t>
  </si>
  <si>
    <t>не в рознице</t>
  </si>
  <si>
    <t>дальность до 14 м</t>
  </si>
  <si>
    <t>российский чип</t>
  </si>
  <si>
    <t>Farsens Fenix2</t>
  </si>
  <si>
    <t>нет данных</t>
  </si>
  <si>
    <t>дальность ~1,5 м</t>
  </si>
  <si>
    <t>HaiLa BSC2000</t>
  </si>
  <si>
    <t>Device 1 / 2a</t>
  </si>
  <si>
    <t>образцы</t>
  </si>
  <si>
    <t>потребление ~40 мкВт – между Device 1 и 2a</t>
  </si>
  <si>
    <t>Device 1 – около 1 мкВт (5.1), Device 2a – сотни мкВт (5.2)</t>
  </si>
  <si>
    <t>5.1, 5.2</t>
  </si>
  <si>
    <t>PWR_MID</t>
  </si>
  <si>
    <t>протокол Wi-Fi</t>
  </si>
  <si>
    <t>нелицензируемый спектр Wi-Fi</t>
  </si>
  <si>
    <t>Аналоги Device 2a – Полупассивные (BAP) метки: тоже отражают сигнал, но питаются от батареи</t>
  </si>
  <si>
    <t>GELATOTAG</t>
  </si>
  <si>
    <t>Device 2a</t>
  </si>
  <si>
    <t>по запросу</t>
  </si>
  <si>
    <t>батарея</t>
  </si>
  <si>
    <t>A-IoT-устройство питается от сбора энергии: без батареи или с ограниченным накопителем</t>
  </si>
  <si>
    <t>TR 22.840 V19.0.0</t>
  </si>
  <si>
    <t>3.1</t>
  </si>
  <si>
    <t>TR 22.840, п. 3.1</t>
  </si>
  <si>
    <t>BATT</t>
  </si>
  <si>
    <t>нет усилителя</t>
  </si>
  <si>
    <t>У Device 2a есть отражательный усилитель или LNA: усиливается хотя бы одно направление</t>
  </si>
  <si>
    <t>5.2.1</t>
  </si>
  <si>
    <t>TR 38.769, п. 5.2.1</t>
  </si>
  <si>
    <t>AMP</t>
  </si>
  <si>
    <t>Аналоги Device C – Устройства со своим передатчиком на собранной энергии; чаще всего только передают</t>
  </si>
  <si>
    <t>Feron TM91</t>
  </si>
  <si>
    <t>Device C</t>
  </si>
  <si>
    <t>2 108 ₽</t>
  </si>
  <si>
    <t>потребление 7 мВт</t>
  </si>
  <si>
    <t>Потребление Device C – от ≤1 до ≤10 мВт</t>
  </si>
  <si>
    <t>5.2A</t>
  </si>
  <si>
    <t>TR 38.769, п. 5.2A</t>
  </si>
  <si>
    <t>PWR_OK</t>
  </si>
  <si>
    <t>только передача, по нажатию</t>
  </si>
  <si>
    <t>У Device 2b и C есть приёмник (детектор огибающей, IF или ZIF): устройство отвечает на запросы сети</t>
  </si>
  <si>
    <t>5.2.2.1</t>
  </si>
  <si>
    <t>TR 38.769, п. 5.2.2.1</t>
  </si>
  <si>
    <t>RX</t>
  </si>
  <si>
    <t>собственный радиопротокол</t>
  </si>
  <si>
    <t>нелицензируемый спектр</t>
  </si>
  <si>
    <t>ArmaControl AS-771</t>
  </si>
  <si>
    <t>от 1 300 ₽</t>
  </si>
  <si>
    <t>только передача</t>
  </si>
  <si>
    <t>нелицензируемый спектр 433 МГц</t>
  </si>
  <si>
    <t>Smart Aura</t>
  </si>
  <si>
    <t>2 071 ₽</t>
  </si>
  <si>
    <t>EnOcean PTM 215</t>
  </si>
  <si>
    <t>₩74 448 (PTM210)</t>
  </si>
  <si>
    <t>протокол EnOcean</t>
  </si>
  <si>
    <t>нелицензируемый спектр 868 МГц</t>
  </si>
  <si>
    <t>ПАРМА ДТИ</t>
  </si>
  <si>
    <t>передаёт сам – собственный передатчик, как у Device C</t>
  </si>
  <si>
    <t>нелицензируемый спектр 433,925 МГц</t>
  </si>
  <si>
    <t>Wiliot Gen3</t>
  </si>
  <si>
    <t>~$0,10</t>
  </si>
  <si>
    <t>протокол BLE</t>
  </si>
  <si>
    <t>нелицензируемый спектр 2,4 ГГц</t>
  </si>
  <si>
    <t>Atmosic ATM34e</t>
  </si>
  <si>
    <t>потребление ~7,5 мВт при передаче</t>
  </si>
  <si>
    <t>мощность передачи до +10 дБм</t>
  </si>
  <si>
    <t>Максимальная мощность передачи Device C – от −3 до 5 дБм</t>
  </si>
  <si>
    <t>TXP</t>
  </si>
  <si>
    <t>Energous e-Sense</t>
  </si>
  <si>
    <t>нужна своя инфраструктура (передатчики энергии)</t>
  </si>
  <si>
    <t>Считыватель – базовая станция или UE сети оператора (топологии 1–4)</t>
  </si>
  <si>
    <t>TR 38.848 V18.0.0</t>
  </si>
  <si>
    <t>4.2</t>
  </si>
  <si>
    <t>TR 38.848, п. 4.2</t>
  </si>
  <si>
    <t>INFRA</t>
  </si>
  <si>
    <t>Everactive Eversensor</t>
  </si>
  <si>
    <t>подписка</t>
  </si>
  <si>
    <t>потребление до 3,4 мВт</t>
  </si>
  <si>
    <t>собственный протокол Evernet</t>
  </si>
  <si>
    <t>нелицензируемый спектр sub-ГГц</t>
  </si>
  <si>
    <t>Вне классов – Работают в ближней зоне</t>
  </si>
  <si>
    <t>Микрон M2525/0LD (NFC)</t>
  </si>
  <si>
    <t>вне классов</t>
  </si>
  <si>
    <t>50 ₽</t>
  </si>
  <si>
    <t>ближняя зона, 13,56 МГц</t>
  </si>
  <si>
    <t>Работа в дальней зоне на десятки метров; NFC (13,56 МГц) в классы A-IoT не попадает</t>
  </si>
  <si>
    <t>NEAR</t>
  </si>
  <si>
    <t>Рынок Ambient IoT – сводная таблица</t>
  </si>
  <si>
    <t>Цены на октябрь 2026. Источник данных – заметка «Рынок - сводная таблица» в базе AIoT.</t>
  </si>
  <si>
    <t>Устройств в таблице</t>
  </si>
  <si>
    <t>Всего расхождений со стандартом</t>
  </si>
  <si>
    <t>Пунктов, где устройство соответствует стандарту</t>
  </si>
  <si>
    <t>Устройств с чужим протоколом</t>
  </si>
  <si>
    <t>Устройств в нелицензируемом спектре</t>
  </si>
  <si>
    <t>Общие выводы</t>
  </si>
  <si>
    <t>• Три повторяющихся расхождения: нелицензируемый спектр, свой протокол, нет накопителя или есть батарея.</t>
  </si>
  <si>
    <t>• Ни одно устройство не проходит одновременно по спектру (TR 38.769, 6.7.1.1) и процедуре доступа (TR 38.769, 6.3.4).</t>
  </si>
  <si>
    <t>• Считыватели UHF в РФ: стационарные от ~17–27 тыс. ₽, Chainway UR4 от ~47 тыс. ₽ (Клеверенс).</t>
  </si>
  <si>
    <t>Как читать</t>
  </si>
  <si>
    <t>• Лист «Сводная»: одно устройство – несколько строк, по строке на каждое расхождение. Красным – расхождение, зелёным – соответствие, серым – примечание.</t>
  </si>
  <si>
    <t>• Колонки «Пункт» и «Стр. PDF» указывают место в документе; «Стр. PDF» – номер страницы файла, а не номер в колонтитуле.</t>
  </si>
  <si>
    <t>• Лист «Требования»: справочник требований с готовыми Obsidian-ссылками на PDF в базе.</t>
  </si>
  <si>
    <t>• Расхождения «протокол» и «спектр» добавлены для всех устройств, где они следуют из технологии (Gen2, BLE, Wi-Fi, 433/868 МГц), даже если в исходной заметке не были указаны.</t>
  </si>
  <si>
    <t>Код</t>
  </si>
  <si>
    <t>Ссылка в Obsidian (вставить в заметку)</t>
  </si>
  <si>
    <t>Ссылка на стандарт (iTecSpec)</t>
  </si>
  <si>
    <t>Сколько раз встречается</t>
  </si>
  <si>
    <t>Нет накопителя</t>
  </si>
  <si>
    <t>[[38769-k00.pdf#page=52&amp;selection=45,0,50,20|5.1]]</t>
  </si>
  <si>
    <t>Дальность ниже цели</t>
  </si>
  <si>
    <t>[[38769-k00.pdf#page=32&amp;selection=134,0,164,1|4.1]]</t>
  </si>
  <si>
    <t>Дальность соответствует цели</t>
  </si>
  <si>
    <t>Чужой протокол</t>
  </si>
  <si>
    <t>[[38769-k00.pdf#page=160&amp;selection=27,0,31,27|6.3.4]]</t>
  </si>
  <si>
    <t>Нелицензируемый спектр</t>
  </si>
  <si>
    <t>[[38769-k00.pdf#page=186&amp;selection=105,0,105,84|6.7.1.1]]</t>
  </si>
  <si>
    <t>Батарея</t>
  </si>
  <si>
    <t>[[22840-j00.pdf#page=13&amp;selection=242,0,244,11|3.1]]</t>
  </si>
  <si>
    <t>Нет усилителя</t>
  </si>
  <si>
    <t>[[38769-k00.pdf#page=53&amp;selection=29,0,31,33|5.2.1]]</t>
  </si>
  <si>
    <t>Только передача</t>
  </si>
  <si>
    <t>[[38769-k00.pdf#page=55&amp;selection=125,0,127,29|5.2.2.1]]</t>
  </si>
  <si>
    <t>Мощность передачи выше нормы</t>
  </si>
  <si>
    <t>[[38769-k00.pdf#page=60&amp;selection=89,0,91,36|5.2A]]</t>
  </si>
  <si>
    <t>Потребление в пределах Device C</t>
  </si>
  <si>
    <t>Потребление между типами</t>
  </si>
  <si>
    <t>[[38769-k00.pdf#page=52&amp;selection=45,0,50,20|5.1]], [[38769-k00.pdf#page=53&amp;selection=20,0,27,20|5.2]]</t>
  </si>
  <si>
    <t>Своя инфраструктура</t>
  </si>
  <si>
    <t>[[38848-i00.pdf#page=10&amp;selection=174,0,178,27|4.2]]</t>
  </si>
  <si>
    <t>Ближняя зона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</si>
</sst>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u/>
      <sz val="11"/>
      <color rgb="FF0000FF"/>
      <name val="Arial"/>
      <charset val="1"/>
    </font>
    <font>
      <u/>
      <sz val="11"/>
      <color rgb="FF1F5BB5"/>
      <name val="Arial"/>
      <charset val="1"/>
    </font>
    <font>
      <u/>
      <sz val="11"/>
      <color theme="1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B4B8A"/>
        <bgColor rgb="FF333399"/>
      </patternFill>
    </fill>
    <fill>
      <patternFill patternType="solid">
        <fgColor rgb="FFD9F2EE"/>
        <bgColor rgb="FFD5EFE3"/>
      </patternFill>
    </fill>
    <fill>
      <patternFill patternType="solid">
        <fgColor rgb="FFF8D7D3"/>
        <bgColor rgb="FFFBE1DF"/>
      </patternFill>
    </fill>
    <fill>
      <patternFill patternType="solid">
        <fgColor rgb="FFEDEDED"/>
        <bgColor rgb="FFDCE6FA"/>
      </patternFill>
    </fill>
    <fill>
      <patternFill patternType="solid">
        <fgColor rgb="FFD5EFE3"/>
        <bgColor rgb="FFD9F2EE"/>
      </patternFill>
    </fill>
    <fill>
      <patternFill patternType="solid">
        <fgColor rgb="FFDCE6FA"/>
        <bgColor rgb="FFD9F2EE"/>
      </patternFill>
    </fill>
    <fill>
      <patternFill patternType="solid">
        <fgColor rgb="FFFBE1DF"/>
        <bgColor rgb="FFF8D7D3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7" fillId="0" borderId="0"/>
  </cellStyleXfs>
  <cellXfs count="25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5" fillId="0" borderId="1" xfId="0" applyFont="1" applyBorder="1" applyAlignment="1">
      <alignment horizontal="left" vertical="center" wrapText="1"/>
    </xf>
    <xf numFmtId="0" fontId="7" fillId="0" borderId="1" xfId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0" borderId="4" xfId="0" applyBorder="1"/>
    <xf numFmtId="0" fontId="0" fillId="0" borderId="5" xfId="0" applyBorder="1"/>
    <xf numFmtId="0" fontId="3" fillId="5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9F2EE"/>
      <rgbColor rgb="FF660066"/>
      <rgbColor rgb="FFFF8080"/>
      <rgbColor rgb="FF1F5BB5"/>
      <rgbColor rgb="FFFBE1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A"/>
      <rgbColor rgb="FFD5EFE3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B4B8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tecspec.com/3gpp/rel-20/38.769/s/6.3.4" TargetMode="External"/><Relationship Id="rId21" Type="http://schemas.openxmlformats.org/officeDocument/2006/relationships/hyperlink" Target="https://www.itecspec.com/3gpp/rel-20/38.769/s/6.3.4" TargetMode="External"/><Relationship Id="rId42" Type="http://schemas.openxmlformats.org/officeDocument/2006/relationships/hyperlink" Target="https://www.itecspec.com/3gpp/rel-20/38.769/s/6.3.4" TargetMode="External"/><Relationship Id="rId47" Type="http://schemas.openxmlformats.org/officeDocument/2006/relationships/hyperlink" Target="https://www.itecspec.com/3gpp/rel-20/38.769/s/6.7.1.1" TargetMode="External"/><Relationship Id="rId63" Type="http://schemas.openxmlformats.org/officeDocument/2006/relationships/hyperlink" Target="https://www.itecspec.com/3gpp/rel-20/38.769/s/6.7.1.1" TargetMode="External"/><Relationship Id="rId68" Type="http://schemas.openxmlformats.org/officeDocument/2006/relationships/hyperlink" Target="https://www.enocean.com/en/product/ptm-210-ptm-215/" TargetMode="External"/><Relationship Id="rId84" Type="http://schemas.openxmlformats.org/officeDocument/2006/relationships/hyperlink" Target="https://www.itecspec.com/3gpp/rel-20/38.769/s/6.3.4" TargetMode="External"/><Relationship Id="rId89" Type="http://schemas.openxmlformats.org/officeDocument/2006/relationships/hyperlink" Target="https://www.itecspec.com/3gpp/rel-20/38.769/s/6.7.1.1" TargetMode="External"/><Relationship Id="rId16" Type="http://schemas.openxmlformats.org/officeDocument/2006/relationships/hyperlink" Target="https://www.itecspec.com/3gpp/rel-20/38.769/s/6.3.4" TargetMode="External"/><Relationship Id="rId11" Type="http://schemas.openxmlformats.org/officeDocument/2006/relationships/hyperlink" Target="https://www.itecspec.com/3gpp/rel-20/38.769/s/6.7.1.1" TargetMode="External"/><Relationship Id="rId32" Type="http://schemas.openxmlformats.org/officeDocument/2006/relationships/hyperlink" Target="https://www.itecspec.com/3gpp/rel-20/38.769/s/6.3.4" TargetMode="External"/><Relationship Id="rId37" Type="http://schemas.openxmlformats.org/officeDocument/2006/relationships/hyperlink" Target="https://www.itecspec.com/3gpp/rel-20/38.769/s/6.3.4" TargetMode="External"/><Relationship Id="rId53" Type="http://schemas.openxmlformats.org/officeDocument/2006/relationships/hyperlink" Target="https://shop.feron.ru/catalog/besprovodnye_vyklyuchateli/" TargetMode="External"/><Relationship Id="rId58" Type="http://schemas.openxmlformats.org/officeDocument/2006/relationships/hyperlink" Target="https://www.itecspec.com/3gpp/rel-20/38.769/s/6.7.1.1" TargetMode="External"/><Relationship Id="rId74" Type="http://schemas.openxmlformats.org/officeDocument/2006/relationships/hyperlink" Target="https://www.itecspec.com/3gpp/rel-20/38.769/s/6.3.4" TargetMode="External"/><Relationship Id="rId79" Type="http://schemas.openxmlformats.org/officeDocument/2006/relationships/hyperlink" Target="https://www.itecspec.com/3gpp/rel-20/38.769/s/6.3.4" TargetMode="External"/><Relationship Id="rId5" Type="http://schemas.openxmlformats.org/officeDocument/2006/relationships/hyperlink" Target="https://www.itecspec.com/3gpp/rel-20/38.769/s/6.3.4" TargetMode="External"/><Relationship Id="rId90" Type="http://schemas.openxmlformats.org/officeDocument/2006/relationships/hyperlink" Target="https://everactive.com/technology" TargetMode="External"/><Relationship Id="rId95" Type="http://schemas.openxmlformats.org/officeDocument/2006/relationships/hyperlink" Target="https://www.itecspec.com/3gpp/rel-20/38.769/s/4.1" TargetMode="External"/><Relationship Id="rId22" Type="http://schemas.openxmlformats.org/officeDocument/2006/relationships/hyperlink" Target="https://www.itecspec.com/3gpp/rel-20/38.769/s/6.7.1.1" TargetMode="External"/><Relationship Id="rId27" Type="http://schemas.openxmlformats.org/officeDocument/2006/relationships/hyperlink" Target="https://www.itecspec.com/3gpp/rel-20/38.769/s/6.7.1.1" TargetMode="External"/><Relationship Id="rId43" Type="http://schemas.openxmlformats.org/officeDocument/2006/relationships/hyperlink" Target="https://www.itecspec.com/3gpp/rel-20/38.769/s/6.7.1.1" TargetMode="External"/><Relationship Id="rId48" Type="http://schemas.openxmlformats.org/officeDocument/2006/relationships/hyperlink" Target="https://www.mforum.ru/news/article/118933.htm" TargetMode="External"/><Relationship Id="rId64" Type="http://schemas.openxmlformats.org/officeDocument/2006/relationships/hyperlink" Target="https://smartaura.ru/product/umnyy-kineticheskiy-wifi-vyklyuchatel-smart-aura-rabotaet-s-alisoy" TargetMode="External"/><Relationship Id="rId69" Type="http://schemas.openxmlformats.org/officeDocument/2006/relationships/hyperlink" Target="https://kr.rs-online.com/web/p/rf-modules/7863198" TargetMode="External"/><Relationship Id="rId8" Type="http://schemas.openxmlformats.org/officeDocument/2006/relationships/hyperlink" Target="https://interid.ru/rfid-metki/bumazhnye" TargetMode="External"/><Relationship Id="rId51" Type="http://schemas.openxmlformats.org/officeDocument/2006/relationships/hyperlink" Target="https://www.itecspec.com/3gpp/rel-20/38.769/s/6.3.4" TargetMode="External"/><Relationship Id="rId72" Type="http://schemas.openxmlformats.org/officeDocument/2006/relationships/hyperlink" Target="https://www.itecspec.com/3gpp/rel-20/38.769/s/6.7.1.1" TargetMode="External"/><Relationship Id="rId80" Type="http://schemas.openxmlformats.org/officeDocument/2006/relationships/hyperlink" Target="https://www.itecspec.com/3gpp/rel-20/38.769/s/6.7.1.1" TargetMode="External"/><Relationship Id="rId85" Type="http://schemas.openxmlformats.org/officeDocument/2006/relationships/hyperlink" Target="https://www.itecspec.com/3gpp/rel-20/38.769/s/6.7.1.1" TargetMode="External"/><Relationship Id="rId93" Type="http://schemas.openxmlformats.org/officeDocument/2006/relationships/hyperlink" Target="https://www.itecspec.com/3gpp/rel-20/38.769/s/6.7.1.1" TargetMode="External"/><Relationship Id="rId3" Type="http://schemas.openxmlformats.org/officeDocument/2006/relationships/hyperlink" Target="https://www.itecspec.com/3gpp/rel-20/38.769/s/5.1" TargetMode="External"/><Relationship Id="rId12" Type="http://schemas.openxmlformats.org/officeDocument/2006/relationships/hyperlink" Target="https://www.siltech.ru/catalog/bumazhnye/etiketka-rfid-uhf-7420-mm/" TargetMode="External"/><Relationship Id="rId17" Type="http://schemas.openxmlformats.org/officeDocument/2006/relationships/hyperlink" Target="https://www.itecspec.com/3gpp/rel-20/38.769/s/6.7.1.1" TargetMode="External"/><Relationship Id="rId25" Type="http://schemas.openxmlformats.org/officeDocument/2006/relationships/hyperlink" Target="https://www.itecspec.com/3gpp/rel-20/38.769/s/4.1" TargetMode="External"/><Relationship Id="rId33" Type="http://schemas.openxmlformats.org/officeDocument/2006/relationships/hyperlink" Target="https://www.itecspec.com/3gpp/rel-20/38.769/s/6.7.1.1" TargetMode="External"/><Relationship Id="rId38" Type="http://schemas.openxmlformats.org/officeDocument/2006/relationships/hyperlink" Target="https://www.itecspec.com/3gpp/rel-20/38.769/s/6.7.1.1" TargetMode="External"/><Relationship Id="rId46" Type="http://schemas.openxmlformats.org/officeDocument/2006/relationships/hyperlink" Target="https://www.itecspec.com/3gpp/rel-20/38.769/s/6.3.4" TargetMode="External"/><Relationship Id="rId59" Type="http://schemas.openxmlformats.org/officeDocument/2006/relationships/hyperlink" Target="https://armastock.ru/prohodnoy-besprovodnoy-kineticheskiy-vyklyuchatel-sveta-armacontrol-as-771-2-klavishi-i-blok-upravleniya" TargetMode="External"/><Relationship Id="rId67" Type="http://schemas.openxmlformats.org/officeDocument/2006/relationships/hyperlink" Target="https://www.itecspec.com/3gpp/rel-20/38.769/s/6.7.1.1" TargetMode="External"/><Relationship Id="rId20" Type="http://schemas.openxmlformats.org/officeDocument/2006/relationships/hyperlink" Target="https://www.itecspec.com/3gpp/rel-20/38.769/s/5.1" TargetMode="External"/><Relationship Id="rId41" Type="http://schemas.openxmlformats.org/officeDocument/2006/relationships/hyperlink" Target="https://www.itecspec.com/3gpp/rel-20/38.769/s/4.1" TargetMode="External"/><Relationship Id="rId54" Type="http://schemas.openxmlformats.org/officeDocument/2006/relationships/hyperlink" Target="https://basicdecor.ru/catalog/vyklyuchateli/feron/" TargetMode="External"/><Relationship Id="rId62" Type="http://schemas.openxmlformats.org/officeDocument/2006/relationships/hyperlink" Target="https://www.itecspec.com/3gpp/rel-20/38.769/s/6.3.4" TargetMode="External"/><Relationship Id="rId70" Type="http://schemas.openxmlformats.org/officeDocument/2006/relationships/hyperlink" Target="https://www.itecspec.com/3gpp/rel-20/38.769/s/5.2.2.1" TargetMode="External"/><Relationship Id="rId75" Type="http://schemas.openxmlformats.org/officeDocument/2006/relationships/hyperlink" Target="https://www.itecspec.com/3gpp/rel-20/38.769/s/6.7.1.1" TargetMode="External"/><Relationship Id="rId83" Type="http://schemas.openxmlformats.org/officeDocument/2006/relationships/hyperlink" Target="https://www.itecspec.com/3gpp/rel-20/38.769/s/5.2a" TargetMode="External"/><Relationship Id="rId88" Type="http://schemas.openxmlformats.org/officeDocument/2006/relationships/hyperlink" Target="https://www.itecspec.com/3gpp/rel-20/38.769/s/6.3.4" TargetMode="External"/><Relationship Id="rId91" Type="http://schemas.openxmlformats.org/officeDocument/2006/relationships/hyperlink" Target="https://www.itecspec.com/3gpp/rel-20/38.769/s/5.2a" TargetMode="External"/><Relationship Id="rId1" Type="http://schemas.openxmlformats.org/officeDocument/2006/relationships/hyperlink" Target="https://interid.ru/kupit/38777" TargetMode="External"/><Relationship Id="rId6" Type="http://schemas.openxmlformats.org/officeDocument/2006/relationships/hyperlink" Target="https://www.itecspec.com/3gpp/rel-20/38.769/s/6.7.1.1" TargetMode="External"/><Relationship Id="rId15" Type="http://schemas.openxmlformats.org/officeDocument/2006/relationships/hyperlink" Target="https://www.itecspec.com/3gpp/rel-20/38.769/s/4.1" TargetMode="External"/><Relationship Id="rId23" Type="http://schemas.openxmlformats.org/officeDocument/2006/relationships/hyperlink" Target="https://rfid-scan.ru/catalog/rfid_metki/spetsialnye/19647/" TargetMode="External"/><Relationship Id="rId28" Type="http://schemas.openxmlformats.org/officeDocument/2006/relationships/hyperlink" Target="https://www.rfid.mikron.ru/catalog/rfid/tproduct/508188563-218717261361-metka-balchug-m-tag-3d1ud" TargetMode="External"/><Relationship Id="rId36" Type="http://schemas.openxmlformats.org/officeDocument/2006/relationships/hyperlink" Target="https://www.itecspec.com/3gpp/rel-20/38.769/s/4.1" TargetMode="External"/><Relationship Id="rId49" Type="http://schemas.openxmlformats.org/officeDocument/2006/relationships/hyperlink" Target="https://www.itecspec.com/3gpp/rel-19/22.840/s/3.1" TargetMode="External"/><Relationship Id="rId57" Type="http://schemas.openxmlformats.org/officeDocument/2006/relationships/hyperlink" Target="https://www.itecspec.com/3gpp/rel-20/38.769/s/6.3.4" TargetMode="External"/><Relationship Id="rId10" Type="http://schemas.openxmlformats.org/officeDocument/2006/relationships/hyperlink" Target="https://www.itecspec.com/3gpp/rel-20/38.769/s/6.3.4" TargetMode="External"/><Relationship Id="rId31" Type="http://schemas.openxmlformats.org/officeDocument/2006/relationships/hyperlink" Target="https://www.itecspec.com/3gpp/rel-20/38.769/s/4.1" TargetMode="External"/><Relationship Id="rId44" Type="http://schemas.openxmlformats.org/officeDocument/2006/relationships/hyperlink" Target="https://www.haila.io/products" TargetMode="External"/><Relationship Id="rId52" Type="http://schemas.openxmlformats.org/officeDocument/2006/relationships/hyperlink" Target="https://www.itecspec.com/3gpp/rel-20/38.769/s/6.7.1.1" TargetMode="External"/><Relationship Id="rId60" Type="http://schemas.openxmlformats.org/officeDocument/2006/relationships/hyperlink" Target="https://armastock.ru/tovary-dlya-umnogo-doma/besprovodnye-vyklyuchateli-sveta-i-rozetki/kineticheskie-vyklyuchateli-bez-batareek" TargetMode="External"/><Relationship Id="rId65" Type="http://schemas.openxmlformats.org/officeDocument/2006/relationships/hyperlink" Target="https://www.itecspec.com/3gpp/rel-20/38.769/s/5.2.2.1" TargetMode="External"/><Relationship Id="rId73" Type="http://schemas.openxmlformats.org/officeDocument/2006/relationships/hyperlink" Target="https://parma.spb.ru/oborudovanie/kompleksy-monitoringa-temperatury/parma-kmt/" TargetMode="External"/><Relationship Id="rId78" Type="http://schemas.openxmlformats.org/officeDocument/2006/relationships/hyperlink" Target="https://www.itecspec.com/3gpp/rel-20/38.769/s/5.2.2.1" TargetMode="External"/><Relationship Id="rId81" Type="http://schemas.openxmlformats.org/officeDocument/2006/relationships/hyperlink" Target="https://atmosic.com/products/the-atm34-series/" TargetMode="External"/><Relationship Id="rId86" Type="http://schemas.openxmlformats.org/officeDocument/2006/relationships/hyperlink" Target="https://energous.com/product/e-sense-tag/" TargetMode="External"/><Relationship Id="rId94" Type="http://schemas.openxmlformats.org/officeDocument/2006/relationships/hyperlink" Target="https://interid.ru/kupit/38772" TargetMode="External"/><Relationship Id="rId4" Type="http://schemas.openxmlformats.org/officeDocument/2006/relationships/hyperlink" Target="https://www.itecspec.com/3gpp/rel-20/38.769/s/4.1" TargetMode="External"/><Relationship Id="rId9" Type="http://schemas.openxmlformats.org/officeDocument/2006/relationships/hyperlink" Target="https://www.itecspec.com/3gpp/rel-20/38.769/s/5.1" TargetMode="External"/><Relationship Id="rId13" Type="http://schemas.openxmlformats.org/officeDocument/2006/relationships/hyperlink" Target="https://interid.ru/kupit/39379" TargetMode="External"/><Relationship Id="rId18" Type="http://schemas.openxmlformats.org/officeDocument/2006/relationships/hyperlink" Target="https://interid.ru/kupit/37094" TargetMode="External"/><Relationship Id="rId39" Type="http://schemas.openxmlformats.org/officeDocument/2006/relationships/hyperlink" Target="https://engineerlive.com/battery-free-temperature-sensor-tag/" TargetMode="External"/><Relationship Id="rId34" Type="http://schemas.openxmlformats.org/officeDocument/2006/relationships/hyperlink" Target="https://erim.ru/mikron-new-uhf-chip.html" TargetMode="External"/><Relationship Id="rId50" Type="http://schemas.openxmlformats.org/officeDocument/2006/relationships/hyperlink" Target="https://www.itecspec.com/3gpp/rel-20/38.769/s/5.2.1" TargetMode="External"/><Relationship Id="rId55" Type="http://schemas.openxmlformats.org/officeDocument/2006/relationships/hyperlink" Target="https://www.itecspec.com/3gpp/rel-20/38.769/s/5.2a" TargetMode="External"/><Relationship Id="rId76" Type="http://schemas.openxmlformats.org/officeDocument/2006/relationships/hyperlink" Target="https://www.wiliot.com/product/iot-pixels" TargetMode="External"/><Relationship Id="rId7" Type="http://schemas.openxmlformats.org/officeDocument/2006/relationships/hyperlink" Target="https://smart-card.ru/catalog/brelki_smart_karty_braslety_beydzhi/rfid_metki/5386/" TargetMode="External"/><Relationship Id="rId71" Type="http://schemas.openxmlformats.org/officeDocument/2006/relationships/hyperlink" Target="https://www.itecspec.com/3gpp/rel-20/38.769/s/6.3.4" TargetMode="External"/><Relationship Id="rId92" Type="http://schemas.openxmlformats.org/officeDocument/2006/relationships/hyperlink" Target="https://www.itecspec.com/3gpp/rel-20/38.769/s/6.3.4" TargetMode="External"/><Relationship Id="rId2" Type="http://schemas.openxmlformats.org/officeDocument/2006/relationships/hyperlink" Target="https://interid.ru/rfid-metki/miikron" TargetMode="External"/><Relationship Id="rId29" Type="http://schemas.openxmlformats.org/officeDocument/2006/relationships/hyperlink" Target="https://rfid-scan.ru/catalog/rfid_metki/metki_na_metall/20739/" TargetMode="External"/><Relationship Id="rId24" Type="http://schemas.openxmlformats.org/officeDocument/2006/relationships/hyperlink" Target="https://www.itecspec.com/3gpp/rel-20/38.769/s/5.1" TargetMode="External"/><Relationship Id="rId40" Type="http://schemas.openxmlformats.org/officeDocument/2006/relationships/hyperlink" Target="https://www.itecspec.com/3gpp/rel-20/38.769/s/5.1" TargetMode="External"/><Relationship Id="rId45" Type="http://schemas.openxmlformats.org/officeDocument/2006/relationships/hyperlink" Target="https://www.itecspec.com/3gpp/rel-20/38.769/s/5.1" TargetMode="External"/><Relationship Id="rId66" Type="http://schemas.openxmlformats.org/officeDocument/2006/relationships/hyperlink" Target="https://www.itecspec.com/3gpp/rel-20/38.769/s/6.3.4" TargetMode="External"/><Relationship Id="rId87" Type="http://schemas.openxmlformats.org/officeDocument/2006/relationships/hyperlink" Target="https://www.itecspec.com/3gpp/rel-18/38.848/s/4.2" TargetMode="External"/><Relationship Id="rId61" Type="http://schemas.openxmlformats.org/officeDocument/2006/relationships/hyperlink" Target="https://www.itecspec.com/3gpp/rel-20/38.769/s/5.2.2.1" TargetMode="External"/><Relationship Id="rId82" Type="http://schemas.openxmlformats.org/officeDocument/2006/relationships/hyperlink" Target="https://www.itecspec.com/3gpp/rel-20/38.769/s/5.2a" TargetMode="External"/><Relationship Id="rId19" Type="http://schemas.openxmlformats.org/officeDocument/2006/relationships/hyperlink" Target="https://interid.ru/rfid-metki/na-metall" TargetMode="External"/><Relationship Id="rId14" Type="http://schemas.openxmlformats.org/officeDocument/2006/relationships/hyperlink" Target="https://www.itecspec.com/3gpp/rel-20/38.769/s/5.1" TargetMode="External"/><Relationship Id="rId30" Type="http://schemas.openxmlformats.org/officeDocument/2006/relationships/hyperlink" Target="https://www.itecspec.com/3gpp/rel-20/38.769/s/5.1" TargetMode="External"/><Relationship Id="rId35" Type="http://schemas.openxmlformats.org/officeDocument/2006/relationships/hyperlink" Target="https://www.itecspec.com/3gpp/rel-20/38.769/s/5.1" TargetMode="External"/><Relationship Id="rId56" Type="http://schemas.openxmlformats.org/officeDocument/2006/relationships/hyperlink" Target="https://www.itecspec.com/3gpp/rel-20/38.769/s/5.2.2.1" TargetMode="External"/><Relationship Id="rId77" Type="http://schemas.openxmlformats.org/officeDocument/2006/relationships/hyperlink" Target="https://aisupplychain.ca/companies/wiliot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tecspec.com/3gpp/rel-20/38.769/s/5.2.2.1" TargetMode="External"/><Relationship Id="rId13" Type="http://schemas.openxmlformats.org/officeDocument/2006/relationships/hyperlink" Target="https://www.itecspec.com/3gpp/rel-20/38.769/s/4.1" TargetMode="External"/><Relationship Id="rId3" Type="http://schemas.openxmlformats.org/officeDocument/2006/relationships/hyperlink" Target="https://www.itecspec.com/3gpp/rel-20/38.769/s/4.1" TargetMode="External"/><Relationship Id="rId7" Type="http://schemas.openxmlformats.org/officeDocument/2006/relationships/hyperlink" Target="https://www.itecspec.com/3gpp/rel-20/38.769/s/5.2.1" TargetMode="External"/><Relationship Id="rId12" Type="http://schemas.openxmlformats.org/officeDocument/2006/relationships/hyperlink" Target="https://www.itecspec.com/3gpp/rel-18/38.848/s/4.2" TargetMode="External"/><Relationship Id="rId2" Type="http://schemas.openxmlformats.org/officeDocument/2006/relationships/hyperlink" Target="https://www.itecspec.com/3gpp/rel-20/38.769/s/4.1" TargetMode="External"/><Relationship Id="rId1" Type="http://schemas.openxmlformats.org/officeDocument/2006/relationships/hyperlink" Target="https://www.itecspec.com/3gpp/rel-20/38.769/s/5.1" TargetMode="External"/><Relationship Id="rId6" Type="http://schemas.openxmlformats.org/officeDocument/2006/relationships/hyperlink" Target="https://www.itecspec.com/3gpp/rel-19/22.840/s/3.1" TargetMode="External"/><Relationship Id="rId11" Type="http://schemas.openxmlformats.org/officeDocument/2006/relationships/hyperlink" Target="https://www.itecspec.com/3gpp/rel-20/38.769/s/5.1" TargetMode="External"/><Relationship Id="rId5" Type="http://schemas.openxmlformats.org/officeDocument/2006/relationships/hyperlink" Target="https://www.itecspec.com/3gpp/rel-20/38.769/s/6.7.1.1" TargetMode="External"/><Relationship Id="rId10" Type="http://schemas.openxmlformats.org/officeDocument/2006/relationships/hyperlink" Target="https://www.itecspec.com/3gpp/rel-20/38.769/s/5.2a" TargetMode="External"/><Relationship Id="rId4" Type="http://schemas.openxmlformats.org/officeDocument/2006/relationships/hyperlink" Target="https://www.itecspec.com/3gpp/rel-20/38.769/s/6.3.4" TargetMode="External"/><Relationship Id="rId9" Type="http://schemas.openxmlformats.org/officeDocument/2006/relationships/hyperlink" Target="https://www.itecspec.com/3gpp/rel-20/38.769/s/5.2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zoomScaleNormal="100" workbookViewId="0"/>
  </sheetViews>
  <sheetFormatPr defaultColWidth="8.7109375" defaultRowHeight="15" x14ac:dyDescent="0.25"/>
  <cols>
    <col min="1" max="1" width="110" customWidth="1"/>
    <col min="2" max="2" width="12" customWidth="1"/>
  </cols>
  <sheetData>
    <row r="1" spans="1:2" ht="24.2" customHeight="1" x14ac:dyDescent="0.25">
      <c r="A1" s="4" t="s">
        <v>146</v>
      </c>
    </row>
    <row r="2" spans="1:2" ht="20.25" customHeight="1" x14ac:dyDescent="0.25">
      <c r="A2" s="5" t="s">
        <v>147</v>
      </c>
    </row>
    <row r="3" spans="1:2" ht="15" customHeight="1" x14ac:dyDescent="0.25">
      <c r="A3" s="5"/>
    </row>
    <row r="4" spans="1:2" ht="20.25" customHeight="1" x14ac:dyDescent="0.25">
      <c r="A4" s="5" t="s">
        <v>148</v>
      </c>
      <c r="B4" s="6">
        <f>COUNTA(Сводная!B2:B75)</f>
        <v>20</v>
      </c>
    </row>
    <row r="5" spans="1:2" ht="20.25" customHeight="1" x14ac:dyDescent="0.25">
      <c r="A5" s="5" t="s">
        <v>149</v>
      </c>
      <c r="B5" s="6">
        <f>COUNTIF(Сводная!F2:F75,"расхождение")</f>
        <v>62</v>
      </c>
    </row>
    <row r="6" spans="1:2" ht="20.25" customHeight="1" x14ac:dyDescent="0.25">
      <c r="A6" s="5" t="s">
        <v>150</v>
      </c>
      <c r="B6" s="6">
        <f>COUNTIF(Сводная!F2:F75,"соответствует")</f>
        <v>4</v>
      </c>
    </row>
    <row r="7" spans="1:2" ht="20.25" customHeight="1" x14ac:dyDescent="0.25">
      <c r="A7" s="5" t="s">
        <v>151</v>
      </c>
      <c r="B7" s="6">
        <f>COUNTIF(Сводная!L2:L75,"PROTO")</f>
        <v>19</v>
      </c>
    </row>
    <row r="8" spans="1:2" ht="20.25" customHeight="1" x14ac:dyDescent="0.25">
      <c r="A8" s="5" t="s">
        <v>152</v>
      </c>
      <c r="B8" s="6">
        <f>COUNTIF(Сводная!L2:L75,"SPEC")</f>
        <v>19</v>
      </c>
    </row>
    <row r="9" spans="1:2" ht="15" customHeight="1" x14ac:dyDescent="0.25">
      <c r="A9" s="5"/>
    </row>
    <row r="10" spans="1:2" ht="20.25" customHeight="1" x14ac:dyDescent="0.25">
      <c r="A10" s="7" t="s">
        <v>153</v>
      </c>
    </row>
    <row r="11" spans="1:2" ht="34.5" customHeight="1" x14ac:dyDescent="0.25">
      <c r="A11" s="5" t="s">
        <v>154</v>
      </c>
    </row>
    <row r="12" spans="1:2" ht="34.5" customHeight="1" x14ac:dyDescent="0.25">
      <c r="A12" s="5" t="s">
        <v>155</v>
      </c>
    </row>
    <row r="13" spans="1:2" ht="20.25" customHeight="1" x14ac:dyDescent="0.25">
      <c r="A13" s="5" t="s">
        <v>156</v>
      </c>
    </row>
    <row r="14" spans="1:2" ht="15" customHeight="1" x14ac:dyDescent="0.25">
      <c r="A14" s="5"/>
    </row>
    <row r="15" spans="1:2" ht="20.25" customHeight="1" x14ac:dyDescent="0.25">
      <c r="A15" s="7" t="s">
        <v>157</v>
      </c>
    </row>
    <row r="16" spans="1:2" ht="34.5" customHeight="1" x14ac:dyDescent="0.25">
      <c r="A16" s="5" t="s">
        <v>158</v>
      </c>
    </row>
    <row r="17" spans="1:1" ht="34.5" customHeight="1" x14ac:dyDescent="0.25">
      <c r="A17" s="5" t="s">
        <v>159</v>
      </c>
    </row>
    <row r="18" spans="1:1" ht="20.25" customHeight="1" x14ac:dyDescent="0.25">
      <c r="A18" s="5" t="s">
        <v>160</v>
      </c>
    </row>
    <row r="19" spans="1:1" ht="34.5" customHeight="1" x14ac:dyDescent="0.25">
      <c r="A19" s="5" t="s">
        <v>161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5"/>
  <sheetViews>
    <sheetView tabSelected="1" zoomScaleNormal="100" workbookViewId="0">
      <pane xSplit="2" ySplit="1" topLeftCell="C72" activePane="bottomRight" state="frozen"/>
      <selection pane="topRight" activeCell="C1" sqref="C1"/>
      <selection pane="bottomLeft" activeCell="A2" sqref="A2"/>
      <selection pane="bottomRight" activeCell="H90" sqref="H90"/>
    </sheetView>
  </sheetViews>
  <sheetFormatPr defaultColWidth="8.7109375" defaultRowHeight="15" x14ac:dyDescent="0.25"/>
  <cols>
    <col min="1" max="1" width="5" customWidth="1"/>
    <col min="2" max="2" width="26" customWidth="1"/>
    <col min="3" max="3" width="13" customWidth="1"/>
    <col min="4" max="4" width="14" customWidth="1"/>
    <col min="5" max="5" width="38" customWidth="1"/>
    <col min="6" max="6" width="15" customWidth="1"/>
    <col min="7" max="7" width="52" customWidth="1"/>
    <col min="8" max="8" width="18" customWidth="1"/>
    <col min="9" max="9" width="9" customWidth="1"/>
    <col min="10" max="10" width="13" customWidth="1"/>
    <col min="11" max="11" width="24" customWidth="1"/>
    <col min="12" max="12" width="12" hidden="1" customWidth="1"/>
  </cols>
  <sheetData>
    <row r="1" spans="1:12" ht="48.95" customHeight="1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</row>
    <row r="2" spans="1:12" ht="21.75" customHeight="1" x14ac:dyDescent="0.25">
      <c r="A2" s="19" t="s">
        <v>12</v>
      </c>
      <c r="B2" s="20"/>
      <c r="C2" s="20"/>
      <c r="D2" s="20"/>
      <c r="E2" s="20"/>
      <c r="F2" s="20"/>
      <c r="G2" s="20"/>
      <c r="H2" s="20"/>
      <c r="I2" s="20"/>
      <c r="J2" s="20"/>
      <c r="K2" s="21"/>
      <c r="L2" s="1"/>
    </row>
    <row r="3" spans="1:12" ht="48.95" customHeight="1" x14ac:dyDescent="0.25">
      <c r="A3" s="18">
        <v>1</v>
      </c>
      <c r="B3" s="17" t="s">
        <v>13</v>
      </c>
      <c r="C3" s="13" t="s">
        <v>14</v>
      </c>
      <c r="D3" s="16" t="s">
        <v>15</v>
      </c>
      <c r="E3" s="1" t="s">
        <v>16</v>
      </c>
      <c r="F3" s="9" t="s">
        <v>17</v>
      </c>
      <c r="G3" s="1" t="s">
        <v>18</v>
      </c>
      <c r="H3" s="1" t="s">
        <v>19</v>
      </c>
      <c r="I3" s="3" t="s">
        <v>20</v>
      </c>
      <c r="J3" s="3">
        <v>52</v>
      </c>
      <c r="K3" s="2" t="s">
        <v>21</v>
      </c>
      <c r="L3" s="1" t="s">
        <v>22</v>
      </c>
    </row>
    <row r="4" spans="1:12" ht="34.5" customHeight="1" x14ac:dyDescent="0.25">
      <c r="A4" s="14"/>
      <c r="B4" s="14"/>
      <c r="C4" s="14"/>
      <c r="D4" s="14"/>
      <c r="E4" s="1" t="s">
        <v>23</v>
      </c>
      <c r="F4" s="9" t="s">
        <v>17</v>
      </c>
      <c r="G4" s="1" t="s">
        <v>24</v>
      </c>
      <c r="H4" s="1" t="s">
        <v>19</v>
      </c>
      <c r="I4" s="3" t="s">
        <v>25</v>
      </c>
      <c r="J4" s="3">
        <v>32</v>
      </c>
      <c r="K4" s="2" t="s">
        <v>26</v>
      </c>
      <c r="L4" s="1" t="s">
        <v>27</v>
      </c>
    </row>
    <row r="5" spans="1:12" ht="48.95" customHeight="1" x14ac:dyDescent="0.25">
      <c r="A5" s="14"/>
      <c r="B5" s="14"/>
      <c r="C5" s="14"/>
      <c r="D5" s="14"/>
      <c r="E5" s="1" t="s">
        <v>28</v>
      </c>
      <c r="F5" s="9" t="s">
        <v>17</v>
      </c>
      <c r="G5" s="1" t="s">
        <v>29</v>
      </c>
      <c r="H5" s="1" t="s">
        <v>19</v>
      </c>
      <c r="I5" s="3" t="s">
        <v>30</v>
      </c>
      <c r="J5" s="3">
        <v>160</v>
      </c>
      <c r="K5" s="2" t="s">
        <v>31</v>
      </c>
      <c r="L5" s="1" t="s">
        <v>32</v>
      </c>
    </row>
    <row r="6" spans="1:12" ht="34.5" customHeight="1" x14ac:dyDescent="0.25">
      <c r="A6" s="15"/>
      <c r="B6" s="15"/>
      <c r="C6" s="15"/>
      <c r="D6" s="15"/>
      <c r="E6" s="1" t="s">
        <v>33</v>
      </c>
      <c r="F6" s="9" t="s">
        <v>17</v>
      </c>
      <c r="G6" s="1" t="s">
        <v>34</v>
      </c>
      <c r="H6" s="1" t="s">
        <v>19</v>
      </c>
      <c r="I6" s="3" t="s">
        <v>35</v>
      </c>
      <c r="J6" s="3">
        <v>186</v>
      </c>
      <c r="K6" s="2" t="s">
        <v>36</v>
      </c>
      <c r="L6" s="1" t="s">
        <v>37</v>
      </c>
    </row>
    <row r="7" spans="1:12" ht="48.95" customHeight="1" x14ac:dyDescent="0.25">
      <c r="A7" s="18">
        <v>2</v>
      </c>
      <c r="B7" s="16" t="s">
        <v>38</v>
      </c>
      <c r="C7" s="13" t="s">
        <v>14</v>
      </c>
      <c r="D7" s="16" t="s">
        <v>39</v>
      </c>
      <c r="E7" s="1" t="s">
        <v>16</v>
      </c>
      <c r="F7" s="9" t="s">
        <v>17</v>
      </c>
      <c r="G7" s="1" t="s">
        <v>18</v>
      </c>
      <c r="H7" s="1" t="s">
        <v>19</v>
      </c>
      <c r="I7" s="3" t="s">
        <v>20</v>
      </c>
      <c r="J7" s="3">
        <v>52</v>
      </c>
      <c r="K7" s="2" t="s">
        <v>21</v>
      </c>
      <c r="L7" s="1" t="s">
        <v>22</v>
      </c>
    </row>
    <row r="8" spans="1:12" ht="48.95" customHeight="1" x14ac:dyDescent="0.25">
      <c r="A8" s="14"/>
      <c r="B8" s="14"/>
      <c r="C8" s="14"/>
      <c r="D8" s="14"/>
      <c r="E8" s="1" t="s">
        <v>28</v>
      </c>
      <c r="F8" s="9" t="s">
        <v>17</v>
      </c>
      <c r="G8" s="1" t="s">
        <v>29</v>
      </c>
      <c r="H8" s="1" t="s">
        <v>19</v>
      </c>
      <c r="I8" s="3" t="s">
        <v>30</v>
      </c>
      <c r="J8" s="3">
        <v>160</v>
      </c>
      <c r="K8" s="2" t="s">
        <v>31</v>
      </c>
      <c r="L8" s="1" t="s">
        <v>32</v>
      </c>
    </row>
    <row r="9" spans="1:12" ht="34.5" customHeight="1" x14ac:dyDescent="0.25">
      <c r="A9" s="15"/>
      <c r="B9" s="15"/>
      <c r="C9" s="15"/>
      <c r="D9" s="15"/>
      <c r="E9" s="1" t="s">
        <v>33</v>
      </c>
      <c r="F9" s="9" t="s">
        <v>17</v>
      </c>
      <c r="G9" s="1" t="s">
        <v>34</v>
      </c>
      <c r="H9" s="1" t="s">
        <v>19</v>
      </c>
      <c r="I9" s="3" t="s">
        <v>35</v>
      </c>
      <c r="J9" s="3">
        <v>186</v>
      </c>
      <c r="K9" s="2" t="s">
        <v>36</v>
      </c>
      <c r="L9" s="1" t="s">
        <v>37</v>
      </c>
    </row>
    <row r="10" spans="1:12" ht="48.95" customHeight="1" x14ac:dyDescent="0.25">
      <c r="A10" s="18">
        <v>3</v>
      </c>
      <c r="B10" s="16" t="s">
        <v>40</v>
      </c>
      <c r="C10" s="13" t="s">
        <v>14</v>
      </c>
      <c r="D10" s="16" t="s">
        <v>41</v>
      </c>
      <c r="E10" s="1" t="s">
        <v>16</v>
      </c>
      <c r="F10" s="9" t="s">
        <v>17</v>
      </c>
      <c r="G10" s="1" t="s">
        <v>18</v>
      </c>
      <c r="H10" s="1" t="s">
        <v>19</v>
      </c>
      <c r="I10" s="3" t="s">
        <v>20</v>
      </c>
      <c r="J10" s="3">
        <v>52</v>
      </c>
      <c r="K10" s="2" t="s">
        <v>21</v>
      </c>
      <c r="L10" s="1" t="s">
        <v>22</v>
      </c>
    </row>
    <row r="11" spans="1:12" ht="34.5" customHeight="1" x14ac:dyDescent="0.25">
      <c r="A11" s="14"/>
      <c r="B11" s="14"/>
      <c r="C11" s="14"/>
      <c r="D11" s="14"/>
      <c r="E11" s="1" t="s">
        <v>42</v>
      </c>
      <c r="F11" s="9" t="s">
        <v>17</v>
      </c>
      <c r="G11" s="1" t="s">
        <v>24</v>
      </c>
      <c r="H11" s="1" t="s">
        <v>19</v>
      </c>
      <c r="I11" s="3" t="s">
        <v>25</v>
      </c>
      <c r="J11" s="3">
        <v>32</v>
      </c>
      <c r="K11" s="2" t="s">
        <v>26</v>
      </c>
      <c r="L11" s="1" t="s">
        <v>27</v>
      </c>
    </row>
    <row r="12" spans="1:12" ht="48.95" customHeight="1" x14ac:dyDescent="0.25">
      <c r="A12" s="14"/>
      <c r="B12" s="14"/>
      <c r="C12" s="14"/>
      <c r="D12" s="14"/>
      <c r="E12" s="1" t="s">
        <v>28</v>
      </c>
      <c r="F12" s="9" t="s">
        <v>17</v>
      </c>
      <c r="G12" s="1" t="s">
        <v>29</v>
      </c>
      <c r="H12" s="1" t="s">
        <v>19</v>
      </c>
      <c r="I12" s="3" t="s">
        <v>30</v>
      </c>
      <c r="J12" s="3">
        <v>160</v>
      </c>
      <c r="K12" s="2" t="s">
        <v>31</v>
      </c>
      <c r="L12" s="1" t="s">
        <v>32</v>
      </c>
    </row>
    <row r="13" spans="1:12" ht="34.5" customHeight="1" x14ac:dyDescent="0.25">
      <c r="A13" s="15"/>
      <c r="B13" s="15"/>
      <c r="C13" s="15"/>
      <c r="D13" s="15"/>
      <c r="E13" s="1" t="s">
        <v>33</v>
      </c>
      <c r="F13" s="9" t="s">
        <v>17</v>
      </c>
      <c r="G13" s="1" t="s">
        <v>34</v>
      </c>
      <c r="H13" s="1" t="s">
        <v>19</v>
      </c>
      <c r="I13" s="3" t="s">
        <v>35</v>
      </c>
      <c r="J13" s="3">
        <v>186</v>
      </c>
      <c r="K13" s="2" t="s">
        <v>36</v>
      </c>
      <c r="L13" s="1" t="s">
        <v>37</v>
      </c>
    </row>
    <row r="14" spans="1:12" ht="48.95" customHeight="1" x14ac:dyDescent="0.25">
      <c r="A14" s="18">
        <v>4</v>
      </c>
      <c r="B14" s="17" t="s">
        <v>43</v>
      </c>
      <c r="C14" s="13" t="s">
        <v>14</v>
      </c>
      <c r="D14" s="16" t="s">
        <v>44</v>
      </c>
      <c r="E14" s="1" t="s">
        <v>16</v>
      </c>
      <c r="F14" s="9" t="s">
        <v>17</v>
      </c>
      <c r="G14" s="1" t="s">
        <v>18</v>
      </c>
      <c r="H14" s="1" t="s">
        <v>19</v>
      </c>
      <c r="I14" s="3" t="s">
        <v>20</v>
      </c>
      <c r="J14" s="3">
        <v>52</v>
      </c>
      <c r="K14" s="2" t="s">
        <v>21</v>
      </c>
      <c r="L14" s="1" t="s">
        <v>22</v>
      </c>
    </row>
    <row r="15" spans="1:12" ht="48.95" customHeight="1" x14ac:dyDescent="0.25">
      <c r="A15" s="14"/>
      <c r="B15" s="14"/>
      <c r="C15" s="14"/>
      <c r="D15" s="14"/>
      <c r="E15" s="1" t="s">
        <v>28</v>
      </c>
      <c r="F15" s="9" t="s">
        <v>17</v>
      </c>
      <c r="G15" s="1" t="s">
        <v>29</v>
      </c>
      <c r="H15" s="1" t="s">
        <v>19</v>
      </c>
      <c r="I15" s="3" t="s">
        <v>30</v>
      </c>
      <c r="J15" s="3">
        <v>160</v>
      </c>
      <c r="K15" s="2" t="s">
        <v>31</v>
      </c>
      <c r="L15" s="1" t="s">
        <v>32</v>
      </c>
    </row>
    <row r="16" spans="1:12" ht="34.5" customHeight="1" x14ac:dyDescent="0.25">
      <c r="A16" s="14"/>
      <c r="B16" s="14"/>
      <c r="C16" s="14"/>
      <c r="D16" s="14"/>
      <c r="E16" s="1" t="s">
        <v>33</v>
      </c>
      <c r="F16" s="9" t="s">
        <v>17</v>
      </c>
      <c r="G16" s="1" t="s">
        <v>34</v>
      </c>
      <c r="H16" s="1" t="s">
        <v>19</v>
      </c>
      <c r="I16" s="3" t="s">
        <v>35</v>
      </c>
      <c r="J16" s="3">
        <v>186</v>
      </c>
      <c r="K16" s="2" t="s">
        <v>36</v>
      </c>
      <c r="L16" s="1" t="s">
        <v>37</v>
      </c>
    </row>
    <row r="17" spans="1:12" ht="33.75" customHeight="1" x14ac:dyDescent="0.25">
      <c r="A17" s="15"/>
      <c r="B17" s="15"/>
      <c r="C17" s="15"/>
      <c r="D17" s="15"/>
      <c r="E17" s="1" t="s">
        <v>45</v>
      </c>
      <c r="F17" s="10" t="s">
        <v>46</v>
      </c>
      <c r="G17" s="1" t="s">
        <v>47</v>
      </c>
      <c r="H17" s="1"/>
      <c r="I17" s="3"/>
      <c r="J17" s="3"/>
      <c r="K17" s="1"/>
      <c r="L17" s="1"/>
    </row>
    <row r="18" spans="1:12" ht="48.95" customHeight="1" x14ac:dyDescent="0.25">
      <c r="A18" s="18">
        <v>5</v>
      </c>
      <c r="B18" s="16" t="s">
        <v>48</v>
      </c>
      <c r="C18" s="13" t="s">
        <v>14</v>
      </c>
      <c r="D18" s="13" t="s">
        <v>49</v>
      </c>
      <c r="E18" s="1" t="s">
        <v>16</v>
      </c>
      <c r="F18" s="9" t="s">
        <v>17</v>
      </c>
      <c r="G18" s="1" t="s">
        <v>18</v>
      </c>
      <c r="H18" s="1" t="s">
        <v>19</v>
      </c>
      <c r="I18" s="3" t="s">
        <v>20</v>
      </c>
      <c r="J18" s="3">
        <v>52</v>
      </c>
      <c r="K18" s="2" t="s">
        <v>21</v>
      </c>
      <c r="L18" s="1" t="s">
        <v>22</v>
      </c>
    </row>
    <row r="19" spans="1:12" ht="34.5" customHeight="1" x14ac:dyDescent="0.25">
      <c r="A19" s="14"/>
      <c r="B19" s="14"/>
      <c r="C19" s="14"/>
      <c r="D19" s="14"/>
      <c r="E19" s="1" t="s">
        <v>50</v>
      </c>
      <c r="F19" s="9" t="s">
        <v>17</v>
      </c>
      <c r="G19" s="1" t="s">
        <v>24</v>
      </c>
      <c r="H19" s="1" t="s">
        <v>19</v>
      </c>
      <c r="I19" s="3" t="s">
        <v>25</v>
      </c>
      <c r="J19" s="3">
        <v>32</v>
      </c>
      <c r="K19" s="2" t="s">
        <v>26</v>
      </c>
      <c r="L19" s="1" t="s">
        <v>27</v>
      </c>
    </row>
    <row r="20" spans="1:12" ht="48.95" customHeight="1" x14ac:dyDescent="0.25">
      <c r="A20" s="14"/>
      <c r="B20" s="14"/>
      <c r="C20" s="14"/>
      <c r="D20" s="14"/>
      <c r="E20" s="1" t="s">
        <v>28</v>
      </c>
      <c r="F20" s="9" t="s">
        <v>17</v>
      </c>
      <c r="G20" s="1" t="s">
        <v>29</v>
      </c>
      <c r="H20" s="1" t="s">
        <v>19</v>
      </c>
      <c r="I20" s="3" t="s">
        <v>30</v>
      </c>
      <c r="J20" s="3">
        <v>160</v>
      </c>
      <c r="K20" s="2" t="s">
        <v>31</v>
      </c>
      <c r="L20" s="1" t="s">
        <v>32</v>
      </c>
    </row>
    <row r="21" spans="1:12" ht="34.5" customHeight="1" x14ac:dyDescent="0.25">
      <c r="A21" s="14"/>
      <c r="B21" s="14"/>
      <c r="C21" s="14"/>
      <c r="D21" s="14"/>
      <c r="E21" s="1" t="s">
        <v>33</v>
      </c>
      <c r="F21" s="9" t="s">
        <v>17</v>
      </c>
      <c r="G21" s="1" t="s">
        <v>34</v>
      </c>
      <c r="H21" s="1" t="s">
        <v>19</v>
      </c>
      <c r="I21" s="3" t="s">
        <v>35</v>
      </c>
      <c r="J21" s="3">
        <v>186</v>
      </c>
      <c r="K21" s="2" t="s">
        <v>36</v>
      </c>
      <c r="L21" s="1" t="s">
        <v>37</v>
      </c>
    </row>
    <row r="22" spans="1:12" ht="33.75" customHeight="1" x14ac:dyDescent="0.25">
      <c r="A22" s="15"/>
      <c r="B22" s="15"/>
      <c r="C22" s="15"/>
      <c r="D22" s="15"/>
      <c r="E22" s="1" t="s">
        <v>51</v>
      </c>
      <c r="F22" s="10" t="s">
        <v>46</v>
      </c>
      <c r="G22" s="1" t="s">
        <v>47</v>
      </c>
      <c r="H22" s="1"/>
      <c r="I22" s="3"/>
      <c r="J22" s="3"/>
      <c r="K22" s="1"/>
      <c r="L22" s="1"/>
    </row>
    <row r="23" spans="1:12" ht="48.95" customHeight="1" x14ac:dyDescent="0.25">
      <c r="A23" s="18">
        <v>6</v>
      </c>
      <c r="B23" s="16" t="s">
        <v>52</v>
      </c>
      <c r="C23" s="13" t="s">
        <v>14</v>
      </c>
      <c r="D23" s="16" t="s">
        <v>53</v>
      </c>
      <c r="E23" s="1" t="s">
        <v>16</v>
      </c>
      <c r="F23" s="9" t="s">
        <v>17</v>
      </c>
      <c r="G23" s="1" t="s">
        <v>18</v>
      </c>
      <c r="H23" s="1" t="s">
        <v>19</v>
      </c>
      <c r="I23" s="3" t="s">
        <v>20</v>
      </c>
      <c r="J23" s="3">
        <v>52</v>
      </c>
      <c r="K23" s="2" t="s">
        <v>21</v>
      </c>
      <c r="L23" s="1" t="s">
        <v>22</v>
      </c>
    </row>
    <row r="24" spans="1:12" ht="34.5" customHeight="1" x14ac:dyDescent="0.25">
      <c r="A24" s="14"/>
      <c r="B24" s="14"/>
      <c r="C24" s="14"/>
      <c r="D24" s="14"/>
      <c r="E24" s="1" t="s">
        <v>54</v>
      </c>
      <c r="F24" s="11" t="s">
        <v>55</v>
      </c>
      <c r="G24" s="1" t="s">
        <v>56</v>
      </c>
      <c r="H24" s="1" t="s">
        <v>19</v>
      </c>
      <c r="I24" s="3" t="s">
        <v>25</v>
      </c>
      <c r="J24" s="3">
        <v>32</v>
      </c>
      <c r="K24" s="2" t="s">
        <v>26</v>
      </c>
      <c r="L24" s="1" t="s">
        <v>57</v>
      </c>
    </row>
    <row r="25" spans="1:12" ht="48.95" customHeight="1" x14ac:dyDescent="0.25">
      <c r="A25" s="14"/>
      <c r="B25" s="14"/>
      <c r="C25" s="14"/>
      <c r="D25" s="14"/>
      <c r="E25" s="1" t="s">
        <v>28</v>
      </c>
      <c r="F25" s="9" t="s">
        <v>17</v>
      </c>
      <c r="G25" s="1" t="s">
        <v>29</v>
      </c>
      <c r="H25" s="1" t="s">
        <v>19</v>
      </c>
      <c r="I25" s="3" t="s">
        <v>30</v>
      </c>
      <c r="J25" s="3">
        <v>160</v>
      </c>
      <c r="K25" s="2" t="s">
        <v>31</v>
      </c>
      <c r="L25" s="1" t="s">
        <v>32</v>
      </c>
    </row>
    <row r="26" spans="1:12" ht="34.5" customHeight="1" x14ac:dyDescent="0.25">
      <c r="A26" s="15"/>
      <c r="B26" s="15"/>
      <c r="C26" s="15"/>
      <c r="D26" s="15"/>
      <c r="E26" s="1" t="s">
        <v>33</v>
      </c>
      <c r="F26" s="9" t="s">
        <v>17</v>
      </c>
      <c r="G26" s="1" t="s">
        <v>34</v>
      </c>
      <c r="H26" s="1" t="s">
        <v>19</v>
      </c>
      <c r="I26" s="3" t="s">
        <v>35</v>
      </c>
      <c r="J26" s="3">
        <v>186</v>
      </c>
      <c r="K26" s="2" t="s">
        <v>36</v>
      </c>
      <c r="L26" s="1" t="s">
        <v>37</v>
      </c>
    </row>
    <row r="27" spans="1:12" ht="48.95" customHeight="1" x14ac:dyDescent="0.25">
      <c r="A27" s="18">
        <v>7</v>
      </c>
      <c r="B27" s="16" t="s">
        <v>58</v>
      </c>
      <c r="C27" s="13" t="s">
        <v>14</v>
      </c>
      <c r="D27" s="13" t="s">
        <v>59</v>
      </c>
      <c r="E27" s="1" t="s">
        <v>16</v>
      </c>
      <c r="F27" s="9" t="s">
        <v>17</v>
      </c>
      <c r="G27" s="1" t="s">
        <v>18</v>
      </c>
      <c r="H27" s="1" t="s">
        <v>19</v>
      </c>
      <c r="I27" s="3" t="s">
        <v>20</v>
      </c>
      <c r="J27" s="3">
        <v>52</v>
      </c>
      <c r="K27" s="2" t="s">
        <v>21</v>
      </c>
      <c r="L27" s="1" t="s">
        <v>22</v>
      </c>
    </row>
    <row r="28" spans="1:12" ht="34.5" customHeight="1" x14ac:dyDescent="0.25">
      <c r="A28" s="14"/>
      <c r="B28" s="14"/>
      <c r="C28" s="14"/>
      <c r="D28" s="14"/>
      <c r="E28" s="1" t="s">
        <v>60</v>
      </c>
      <c r="F28" s="9" t="s">
        <v>17</v>
      </c>
      <c r="G28" s="1" t="s">
        <v>24</v>
      </c>
      <c r="H28" s="1" t="s">
        <v>19</v>
      </c>
      <c r="I28" s="3" t="s">
        <v>25</v>
      </c>
      <c r="J28" s="3">
        <v>32</v>
      </c>
      <c r="K28" s="2" t="s">
        <v>26</v>
      </c>
      <c r="L28" s="1" t="s">
        <v>27</v>
      </c>
    </row>
    <row r="29" spans="1:12" ht="48.95" customHeight="1" x14ac:dyDescent="0.25">
      <c r="A29" s="14"/>
      <c r="B29" s="14"/>
      <c r="C29" s="14"/>
      <c r="D29" s="14"/>
      <c r="E29" s="1" t="s">
        <v>28</v>
      </c>
      <c r="F29" s="9" t="s">
        <v>17</v>
      </c>
      <c r="G29" s="1" t="s">
        <v>29</v>
      </c>
      <c r="H29" s="1" t="s">
        <v>19</v>
      </c>
      <c r="I29" s="3" t="s">
        <v>30</v>
      </c>
      <c r="J29" s="3">
        <v>160</v>
      </c>
      <c r="K29" s="2" t="s">
        <v>31</v>
      </c>
      <c r="L29" s="1" t="s">
        <v>32</v>
      </c>
    </row>
    <row r="30" spans="1:12" ht="34.5" customHeight="1" x14ac:dyDescent="0.25">
      <c r="A30" s="14"/>
      <c r="B30" s="14"/>
      <c r="C30" s="14"/>
      <c r="D30" s="14"/>
      <c r="E30" s="1" t="s">
        <v>33</v>
      </c>
      <c r="F30" s="9" t="s">
        <v>17</v>
      </c>
      <c r="G30" s="1" t="s">
        <v>34</v>
      </c>
      <c r="H30" s="1" t="s">
        <v>19</v>
      </c>
      <c r="I30" s="3" t="s">
        <v>35</v>
      </c>
      <c r="J30" s="3">
        <v>186</v>
      </c>
      <c r="K30" s="2" t="s">
        <v>36</v>
      </c>
      <c r="L30" s="1" t="s">
        <v>37</v>
      </c>
    </row>
    <row r="31" spans="1:12" ht="33.75" customHeight="1" x14ac:dyDescent="0.25">
      <c r="A31" s="15"/>
      <c r="B31" s="15"/>
      <c r="C31" s="15"/>
      <c r="D31" s="15"/>
      <c r="E31" s="1" t="s">
        <v>61</v>
      </c>
      <c r="F31" s="10" t="s">
        <v>46</v>
      </c>
      <c r="G31" s="1" t="s">
        <v>47</v>
      </c>
      <c r="H31" s="1"/>
      <c r="I31" s="3"/>
      <c r="J31" s="3"/>
      <c r="K31" s="1"/>
      <c r="L31" s="1"/>
    </row>
    <row r="32" spans="1:12" ht="48.95" customHeight="1" x14ac:dyDescent="0.25">
      <c r="A32" s="18">
        <v>8</v>
      </c>
      <c r="B32" s="16" t="s">
        <v>62</v>
      </c>
      <c r="C32" s="13" t="s">
        <v>14</v>
      </c>
      <c r="D32" s="13" t="s">
        <v>63</v>
      </c>
      <c r="E32" s="1" t="s">
        <v>16</v>
      </c>
      <c r="F32" s="9" t="s">
        <v>17</v>
      </c>
      <c r="G32" s="1" t="s">
        <v>18</v>
      </c>
      <c r="H32" s="1" t="s">
        <v>19</v>
      </c>
      <c r="I32" s="3" t="s">
        <v>20</v>
      </c>
      <c r="J32" s="3">
        <v>52</v>
      </c>
      <c r="K32" s="2" t="s">
        <v>21</v>
      </c>
      <c r="L32" s="1" t="s">
        <v>22</v>
      </c>
    </row>
    <row r="33" spans="1:12" ht="34.5" customHeight="1" x14ac:dyDescent="0.25">
      <c r="A33" s="14"/>
      <c r="B33" s="14"/>
      <c r="C33" s="14"/>
      <c r="D33" s="14"/>
      <c r="E33" s="1" t="s">
        <v>64</v>
      </c>
      <c r="F33" s="9" t="s">
        <v>17</v>
      </c>
      <c r="G33" s="1" t="s">
        <v>24</v>
      </c>
      <c r="H33" s="1" t="s">
        <v>19</v>
      </c>
      <c r="I33" s="3" t="s">
        <v>25</v>
      </c>
      <c r="J33" s="3">
        <v>32</v>
      </c>
      <c r="K33" s="2" t="s">
        <v>26</v>
      </c>
      <c r="L33" s="1" t="s">
        <v>27</v>
      </c>
    </row>
    <row r="34" spans="1:12" ht="48.95" customHeight="1" x14ac:dyDescent="0.25">
      <c r="A34" s="14"/>
      <c r="B34" s="14"/>
      <c r="C34" s="14"/>
      <c r="D34" s="14"/>
      <c r="E34" s="1" t="s">
        <v>28</v>
      </c>
      <c r="F34" s="9" t="s">
        <v>17</v>
      </c>
      <c r="G34" s="1" t="s">
        <v>29</v>
      </c>
      <c r="H34" s="1" t="s">
        <v>19</v>
      </c>
      <c r="I34" s="3" t="s">
        <v>30</v>
      </c>
      <c r="J34" s="3">
        <v>160</v>
      </c>
      <c r="K34" s="2" t="s">
        <v>31</v>
      </c>
      <c r="L34" s="1" t="s">
        <v>32</v>
      </c>
    </row>
    <row r="35" spans="1:12" ht="34.5" customHeight="1" x14ac:dyDescent="0.25">
      <c r="A35" s="15"/>
      <c r="B35" s="15"/>
      <c r="C35" s="15"/>
      <c r="D35" s="15"/>
      <c r="E35" s="1" t="s">
        <v>33</v>
      </c>
      <c r="F35" s="9" t="s">
        <v>17</v>
      </c>
      <c r="G35" s="1" t="s">
        <v>34</v>
      </c>
      <c r="H35" s="1" t="s">
        <v>19</v>
      </c>
      <c r="I35" s="3" t="s">
        <v>35</v>
      </c>
      <c r="J35" s="3">
        <v>186</v>
      </c>
      <c r="K35" s="2" t="s">
        <v>36</v>
      </c>
      <c r="L35" s="1" t="s">
        <v>37</v>
      </c>
    </row>
    <row r="36" spans="1:12" ht="34.5" customHeight="1" x14ac:dyDescent="0.25">
      <c r="A36" s="18">
        <v>9</v>
      </c>
      <c r="B36" s="17" t="s">
        <v>65</v>
      </c>
      <c r="C36" s="13" t="s">
        <v>66</v>
      </c>
      <c r="D36" s="13" t="s">
        <v>67</v>
      </c>
      <c r="E36" s="1" t="s">
        <v>68</v>
      </c>
      <c r="F36" s="9" t="s">
        <v>17</v>
      </c>
      <c r="G36" s="1" t="s">
        <v>69</v>
      </c>
      <c r="H36" s="1" t="s">
        <v>19</v>
      </c>
      <c r="I36" s="3" t="s">
        <v>70</v>
      </c>
      <c r="J36" s="3">
        <v>52</v>
      </c>
      <c r="K36" s="2" t="s">
        <v>21</v>
      </c>
      <c r="L36" s="1" t="s">
        <v>71</v>
      </c>
    </row>
    <row r="37" spans="1:12" ht="48.95" customHeight="1" x14ac:dyDescent="0.25">
      <c r="A37" s="14"/>
      <c r="B37" s="14"/>
      <c r="C37" s="14"/>
      <c r="D37" s="14"/>
      <c r="E37" s="1" t="s">
        <v>72</v>
      </c>
      <c r="F37" s="9" t="s">
        <v>17</v>
      </c>
      <c r="G37" s="1" t="s">
        <v>29</v>
      </c>
      <c r="H37" s="1" t="s">
        <v>19</v>
      </c>
      <c r="I37" s="3" t="s">
        <v>30</v>
      </c>
      <c r="J37" s="3">
        <v>160</v>
      </c>
      <c r="K37" s="2" t="s">
        <v>31</v>
      </c>
      <c r="L37" s="1" t="s">
        <v>32</v>
      </c>
    </row>
    <row r="38" spans="1:12" ht="34.5" customHeight="1" x14ac:dyDescent="0.25">
      <c r="A38" s="15"/>
      <c r="B38" s="15"/>
      <c r="C38" s="15"/>
      <c r="D38" s="15"/>
      <c r="E38" s="1" t="s">
        <v>73</v>
      </c>
      <c r="F38" s="9" t="s">
        <v>17</v>
      </c>
      <c r="G38" s="1" t="s">
        <v>34</v>
      </c>
      <c r="H38" s="1" t="s">
        <v>19</v>
      </c>
      <c r="I38" s="3" t="s">
        <v>35</v>
      </c>
      <c r="J38" s="3">
        <v>186</v>
      </c>
      <c r="K38" s="2" t="s">
        <v>36</v>
      </c>
      <c r="L38" s="1" t="s">
        <v>37</v>
      </c>
    </row>
    <row r="39" spans="1:12" ht="21.75" customHeight="1" x14ac:dyDescent="0.25">
      <c r="A39" s="23" t="s">
        <v>74</v>
      </c>
      <c r="B39" s="20"/>
      <c r="C39" s="20"/>
      <c r="D39" s="20"/>
      <c r="E39" s="20"/>
      <c r="F39" s="20"/>
      <c r="G39" s="20"/>
      <c r="H39" s="20"/>
      <c r="I39" s="20"/>
      <c r="J39" s="20"/>
      <c r="K39" s="21"/>
      <c r="L39" s="1"/>
    </row>
    <row r="40" spans="1:12" ht="34.5" customHeight="1" x14ac:dyDescent="0.25">
      <c r="A40" s="18">
        <v>10</v>
      </c>
      <c r="B40" s="16" t="s">
        <v>75</v>
      </c>
      <c r="C40" s="13" t="s">
        <v>76</v>
      </c>
      <c r="D40" s="13" t="s">
        <v>77</v>
      </c>
      <c r="E40" s="1" t="s">
        <v>78</v>
      </c>
      <c r="F40" s="9" t="s">
        <v>17</v>
      </c>
      <c r="G40" s="1" t="s">
        <v>79</v>
      </c>
      <c r="H40" s="1" t="s">
        <v>80</v>
      </c>
      <c r="I40" s="3" t="s">
        <v>81</v>
      </c>
      <c r="J40" s="3">
        <v>13</v>
      </c>
      <c r="K40" s="2" t="s">
        <v>82</v>
      </c>
      <c r="L40" s="1" t="s">
        <v>83</v>
      </c>
    </row>
    <row r="41" spans="1:12" ht="48.95" customHeight="1" x14ac:dyDescent="0.25">
      <c r="A41" s="14"/>
      <c r="B41" s="14"/>
      <c r="C41" s="14"/>
      <c r="D41" s="14"/>
      <c r="E41" s="1" t="s">
        <v>84</v>
      </c>
      <c r="F41" s="9" t="s">
        <v>17</v>
      </c>
      <c r="G41" s="1" t="s">
        <v>85</v>
      </c>
      <c r="H41" s="1" t="s">
        <v>19</v>
      </c>
      <c r="I41" s="3" t="s">
        <v>86</v>
      </c>
      <c r="J41" s="3">
        <v>53</v>
      </c>
      <c r="K41" s="2" t="s">
        <v>87</v>
      </c>
      <c r="L41" s="1" t="s">
        <v>88</v>
      </c>
    </row>
    <row r="42" spans="1:12" ht="48.95" customHeight="1" x14ac:dyDescent="0.25">
      <c r="A42" s="14"/>
      <c r="B42" s="14"/>
      <c r="C42" s="14"/>
      <c r="D42" s="14"/>
      <c r="E42" s="1" t="s">
        <v>28</v>
      </c>
      <c r="F42" s="9" t="s">
        <v>17</v>
      </c>
      <c r="G42" s="1" t="s">
        <v>29</v>
      </c>
      <c r="H42" s="1" t="s">
        <v>19</v>
      </c>
      <c r="I42" s="3" t="s">
        <v>30</v>
      </c>
      <c r="J42" s="3">
        <v>160</v>
      </c>
      <c r="K42" s="2" t="s">
        <v>31</v>
      </c>
      <c r="L42" s="1" t="s">
        <v>32</v>
      </c>
    </row>
    <row r="43" spans="1:12" ht="34.5" customHeight="1" x14ac:dyDescent="0.25">
      <c r="A43" s="15"/>
      <c r="B43" s="15"/>
      <c r="C43" s="15"/>
      <c r="D43" s="15"/>
      <c r="E43" s="1" t="s">
        <v>33</v>
      </c>
      <c r="F43" s="9" t="s">
        <v>17</v>
      </c>
      <c r="G43" s="1" t="s">
        <v>34</v>
      </c>
      <c r="H43" s="1" t="s">
        <v>19</v>
      </c>
      <c r="I43" s="3" t="s">
        <v>35</v>
      </c>
      <c r="J43" s="3">
        <v>186</v>
      </c>
      <c r="K43" s="2" t="s">
        <v>36</v>
      </c>
      <c r="L43" s="1" t="s">
        <v>37</v>
      </c>
    </row>
    <row r="44" spans="1:12" ht="21.75" customHeight="1" x14ac:dyDescent="0.25">
      <c r="A44" s="24" t="s">
        <v>89</v>
      </c>
      <c r="B44" s="20"/>
      <c r="C44" s="20"/>
      <c r="D44" s="20"/>
      <c r="E44" s="20"/>
      <c r="F44" s="20"/>
      <c r="G44" s="20"/>
      <c r="H44" s="20"/>
      <c r="I44" s="20"/>
      <c r="J44" s="20"/>
      <c r="K44" s="21"/>
      <c r="L44" s="1"/>
    </row>
    <row r="45" spans="1:12" ht="34.5" customHeight="1" x14ac:dyDescent="0.25">
      <c r="A45" s="18">
        <v>11</v>
      </c>
      <c r="B45" s="16" t="s">
        <v>90</v>
      </c>
      <c r="C45" s="13" t="s">
        <v>91</v>
      </c>
      <c r="D45" s="16" t="s">
        <v>92</v>
      </c>
      <c r="E45" s="1" t="s">
        <v>93</v>
      </c>
      <c r="F45" s="11" t="s">
        <v>55</v>
      </c>
      <c r="G45" s="1" t="s">
        <v>94</v>
      </c>
      <c r="H45" s="1" t="s">
        <v>19</v>
      </c>
      <c r="I45" s="3" t="s">
        <v>95</v>
      </c>
      <c r="J45" s="3">
        <v>60</v>
      </c>
      <c r="K45" s="2" t="s">
        <v>96</v>
      </c>
      <c r="L45" s="1" t="s">
        <v>97</v>
      </c>
    </row>
    <row r="46" spans="1:12" ht="48.95" customHeight="1" x14ac:dyDescent="0.25">
      <c r="A46" s="14"/>
      <c r="B46" s="14"/>
      <c r="C46" s="14"/>
      <c r="D46" s="14"/>
      <c r="E46" s="1" t="s">
        <v>98</v>
      </c>
      <c r="F46" s="9" t="s">
        <v>17</v>
      </c>
      <c r="G46" s="1" t="s">
        <v>99</v>
      </c>
      <c r="H46" s="1" t="s">
        <v>19</v>
      </c>
      <c r="I46" s="3" t="s">
        <v>100</v>
      </c>
      <c r="J46" s="3">
        <v>55</v>
      </c>
      <c r="K46" s="2" t="s">
        <v>101</v>
      </c>
      <c r="L46" s="1" t="s">
        <v>102</v>
      </c>
    </row>
    <row r="47" spans="1:12" ht="48.95" customHeight="1" x14ac:dyDescent="0.25">
      <c r="A47" s="14"/>
      <c r="B47" s="14"/>
      <c r="C47" s="14"/>
      <c r="D47" s="14"/>
      <c r="E47" s="1" t="s">
        <v>103</v>
      </c>
      <c r="F47" s="9" t="s">
        <v>17</v>
      </c>
      <c r="G47" s="1" t="s">
        <v>29</v>
      </c>
      <c r="H47" s="1" t="s">
        <v>19</v>
      </c>
      <c r="I47" s="3" t="s">
        <v>30</v>
      </c>
      <c r="J47" s="3">
        <v>160</v>
      </c>
      <c r="K47" s="2" t="s">
        <v>31</v>
      </c>
      <c r="L47" s="1" t="s">
        <v>32</v>
      </c>
    </row>
    <row r="48" spans="1:12" ht="34.5" customHeight="1" x14ac:dyDescent="0.25">
      <c r="A48" s="15"/>
      <c r="B48" s="15"/>
      <c r="C48" s="15"/>
      <c r="D48" s="15"/>
      <c r="E48" s="1" t="s">
        <v>104</v>
      </c>
      <c r="F48" s="9" t="s">
        <v>17</v>
      </c>
      <c r="G48" s="1" t="s">
        <v>34</v>
      </c>
      <c r="H48" s="1" t="s">
        <v>19</v>
      </c>
      <c r="I48" s="3" t="s">
        <v>35</v>
      </c>
      <c r="J48" s="3">
        <v>186</v>
      </c>
      <c r="K48" s="2" t="s">
        <v>36</v>
      </c>
      <c r="L48" s="1" t="s">
        <v>37</v>
      </c>
    </row>
    <row r="49" spans="1:12" ht="48.95" customHeight="1" x14ac:dyDescent="0.25">
      <c r="A49" s="18">
        <v>12</v>
      </c>
      <c r="B49" s="16" t="s">
        <v>105</v>
      </c>
      <c r="C49" s="13" t="s">
        <v>91</v>
      </c>
      <c r="D49" s="16" t="s">
        <v>106</v>
      </c>
      <c r="E49" s="1" t="s">
        <v>107</v>
      </c>
      <c r="F49" s="9" t="s">
        <v>17</v>
      </c>
      <c r="G49" s="1" t="s">
        <v>99</v>
      </c>
      <c r="H49" s="1" t="s">
        <v>19</v>
      </c>
      <c r="I49" s="3" t="s">
        <v>100</v>
      </c>
      <c r="J49" s="3">
        <v>55</v>
      </c>
      <c r="K49" s="2" t="s">
        <v>101</v>
      </c>
      <c r="L49" s="1" t="s">
        <v>102</v>
      </c>
    </row>
    <row r="50" spans="1:12" ht="48.95" customHeight="1" x14ac:dyDescent="0.25">
      <c r="A50" s="14"/>
      <c r="B50" s="14"/>
      <c r="C50" s="14"/>
      <c r="D50" s="14"/>
      <c r="E50" s="1" t="s">
        <v>103</v>
      </c>
      <c r="F50" s="9" t="s">
        <v>17</v>
      </c>
      <c r="G50" s="1" t="s">
        <v>29</v>
      </c>
      <c r="H50" s="1" t="s">
        <v>19</v>
      </c>
      <c r="I50" s="3" t="s">
        <v>30</v>
      </c>
      <c r="J50" s="3">
        <v>160</v>
      </c>
      <c r="K50" s="2" t="s">
        <v>31</v>
      </c>
      <c r="L50" s="1" t="s">
        <v>32</v>
      </c>
    </row>
    <row r="51" spans="1:12" ht="34.5" customHeight="1" x14ac:dyDescent="0.25">
      <c r="A51" s="15"/>
      <c r="B51" s="15"/>
      <c r="C51" s="15"/>
      <c r="D51" s="15"/>
      <c r="E51" s="1" t="s">
        <v>108</v>
      </c>
      <c r="F51" s="9" t="s">
        <v>17</v>
      </c>
      <c r="G51" s="1" t="s">
        <v>34</v>
      </c>
      <c r="H51" s="1" t="s">
        <v>19</v>
      </c>
      <c r="I51" s="3" t="s">
        <v>35</v>
      </c>
      <c r="J51" s="3">
        <v>186</v>
      </c>
      <c r="K51" s="2" t="s">
        <v>36</v>
      </c>
      <c r="L51" s="1" t="s">
        <v>37</v>
      </c>
    </row>
    <row r="52" spans="1:12" ht="48.95" customHeight="1" x14ac:dyDescent="0.25">
      <c r="A52" s="18">
        <v>13</v>
      </c>
      <c r="B52" s="16" t="s">
        <v>109</v>
      </c>
      <c r="C52" s="13" t="s">
        <v>91</v>
      </c>
      <c r="D52" s="13" t="s">
        <v>110</v>
      </c>
      <c r="E52" s="1" t="s">
        <v>107</v>
      </c>
      <c r="F52" s="9" t="s">
        <v>17</v>
      </c>
      <c r="G52" s="1" t="s">
        <v>99</v>
      </c>
      <c r="H52" s="1" t="s">
        <v>19</v>
      </c>
      <c r="I52" s="3" t="s">
        <v>100</v>
      </c>
      <c r="J52" s="3">
        <v>55</v>
      </c>
      <c r="K52" s="2" t="s">
        <v>101</v>
      </c>
      <c r="L52" s="1" t="s">
        <v>102</v>
      </c>
    </row>
    <row r="53" spans="1:12" ht="48.95" customHeight="1" x14ac:dyDescent="0.25">
      <c r="A53" s="14"/>
      <c r="B53" s="14"/>
      <c r="C53" s="14"/>
      <c r="D53" s="14"/>
      <c r="E53" s="1" t="s">
        <v>103</v>
      </c>
      <c r="F53" s="9" t="s">
        <v>17</v>
      </c>
      <c r="G53" s="1" t="s">
        <v>29</v>
      </c>
      <c r="H53" s="1" t="s">
        <v>19</v>
      </c>
      <c r="I53" s="3" t="s">
        <v>30</v>
      </c>
      <c r="J53" s="3">
        <v>160</v>
      </c>
      <c r="K53" s="2" t="s">
        <v>31</v>
      </c>
      <c r="L53" s="1" t="s">
        <v>32</v>
      </c>
    </row>
    <row r="54" spans="1:12" ht="34.5" customHeight="1" x14ac:dyDescent="0.25">
      <c r="A54" s="15"/>
      <c r="B54" s="15"/>
      <c r="C54" s="15"/>
      <c r="D54" s="15"/>
      <c r="E54" s="1" t="s">
        <v>104</v>
      </c>
      <c r="F54" s="9" t="s">
        <v>17</v>
      </c>
      <c r="G54" s="1" t="s">
        <v>34</v>
      </c>
      <c r="H54" s="1" t="s">
        <v>19</v>
      </c>
      <c r="I54" s="3" t="s">
        <v>35</v>
      </c>
      <c r="J54" s="3">
        <v>186</v>
      </c>
      <c r="K54" s="2" t="s">
        <v>36</v>
      </c>
      <c r="L54" s="1" t="s">
        <v>37</v>
      </c>
    </row>
    <row r="55" spans="1:12" ht="48.95" customHeight="1" x14ac:dyDescent="0.25">
      <c r="A55" s="18">
        <v>14</v>
      </c>
      <c r="B55" s="16" t="s">
        <v>111</v>
      </c>
      <c r="C55" s="13" t="s">
        <v>91</v>
      </c>
      <c r="D55" s="16" t="s">
        <v>112</v>
      </c>
      <c r="E55" s="1" t="s">
        <v>107</v>
      </c>
      <c r="F55" s="9" t="s">
        <v>17</v>
      </c>
      <c r="G55" s="1" t="s">
        <v>99</v>
      </c>
      <c r="H55" s="1" t="s">
        <v>19</v>
      </c>
      <c r="I55" s="3" t="s">
        <v>100</v>
      </c>
      <c r="J55" s="3">
        <v>55</v>
      </c>
      <c r="K55" s="2" t="s">
        <v>101</v>
      </c>
      <c r="L55" s="1" t="s">
        <v>102</v>
      </c>
    </row>
    <row r="56" spans="1:12" ht="48.95" customHeight="1" x14ac:dyDescent="0.25">
      <c r="A56" s="14"/>
      <c r="B56" s="14"/>
      <c r="C56" s="14"/>
      <c r="D56" s="14"/>
      <c r="E56" s="1" t="s">
        <v>113</v>
      </c>
      <c r="F56" s="9" t="s">
        <v>17</v>
      </c>
      <c r="G56" s="1" t="s">
        <v>29</v>
      </c>
      <c r="H56" s="1" t="s">
        <v>19</v>
      </c>
      <c r="I56" s="3" t="s">
        <v>30</v>
      </c>
      <c r="J56" s="3">
        <v>160</v>
      </c>
      <c r="K56" s="2" t="s">
        <v>31</v>
      </c>
      <c r="L56" s="1" t="s">
        <v>32</v>
      </c>
    </row>
    <row r="57" spans="1:12" ht="34.5" customHeight="1" x14ac:dyDescent="0.25">
      <c r="A57" s="15"/>
      <c r="B57" s="15"/>
      <c r="C57" s="15"/>
      <c r="D57" s="15"/>
      <c r="E57" s="1" t="s">
        <v>114</v>
      </c>
      <c r="F57" s="9" t="s">
        <v>17</v>
      </c>
      <c r="G57" s="1" t="s">
        <v>34</v>
      </c>
      <c r="H57" s="1" t="s">
        <v>19</v>
      </c>
      <c r="I57" s="3" t="s">
        <v>35</v>
      </c>
      <c r="J57" s="3">
        <v>186</v>
      </c>
      <c r="K57" s="2" t="s">
        <v>36</v>
      </c>
      <c r="L57" s="1" t="s">
        <v>37</v>
      </c>
    </row>
    <row r="58" spans="1:12" ht="34.5" customHeight="1" x14ac:dyDescent="0.25">
      <c r="A58" s="18">
        <v>15</v>
      </c>
      <c r="B58" s="16" t="s">
        <v>115</v>
      </c>
      <c r="C58" s="13" t="s">
        <v>91</v>
      </c>
      <c r="D58" s="13" t="s">
        <v>77</v>
      </c>
      <c r="E58" s="1" t="s">
        <v>116</v>
      </c>
      <c r="F58" s="10" t="s">
        <v>46</v>
      </c>
      <c r="G58" s="1" t="s">
        <v>47</v>
      </c>
      <c r="H58" s="1"/>
      <c r="I58" s="3"/>
      <c r="J58" s="3"/>
      <c r="K58" s="1"/>
      <c r="L58" s="1"/>
    </row>
    <row r="59" spans="1:12" ht="48.95" customHeight="1" x14ac:dyDescent="0.25">
      <c r="A59" s="14"/>
      <c r="B59" s="14"/>
      <c r="C59" s="14"/>
      <c r="D59" s="14"/>
      <c r="E59" s="1" t="s">
        <v>103</v>
      </c>
      <c r="F59" s="9" t="s">
        <v>17</v>
      </c>
      <c r="G59" s="1" t="s">
        <v>29</v>
      </c>
      <c r="H59" s="1" t="s">
        <v>19</v>
      </c>
      <c r="I59" s="3" t="s">
        <v>30</v>
      </c>
      <c r="J59" s="3">
        <v>160</v>
      </c>
      <c r="K59" s="2" t="s">
        <v>31</v>
      </c>
      <c r="L59" s="1" t="s">
        <v>32</v>
      </c>
    </row>
    <row r="60" spans="1:12" ht="34.5" customHeight="1" x14ac:dyDescent="0.25">
      <c r="A60" s="15"/>
      <c r="B60" s="15"/>
      <c r="C60" s="15"/>
      <c r="D60" s="15"/>
      <c r="E60" s="1" t="s">
        <v>117</v>
      </c>
      <c r="F60" s="9" t="s">
        <v>17</v>
      </c>
      <c r="G60" s="1" t="s">
        <v>34</v>
      </c>
      <c r="H60" s="1" t="s">
        <v>19</v>
      </c>
      <c r="I60" s="3" t="s">
        <v>35</v>
      </c>
      <c r="J60" s="3">
        <v>186</v>
      </c>
      <c r="K60" s="2" t="s">
        <v>36</v>
      </c>
      <c r="L60" s="1" t="s">
        <v>37</v>
      </c>
    </row>
    <row r="61" spans="1:12" ht="48.95" customHeight="1" x14ac:dyDescent="0.25">
      <c r="A61" s="18">
        <v>16</v>
      </c>
      <c r="B61" s="16" t="s">
        <v>118</v>
      </c>
      <c r="C61" s="13" t="s">
        <v>91</v>
      </c>
      <c r="D61" s="16" t="s">
        <v>119</v>
      </c>
      <c r="E61" s="1" t="s">
        <v>107</v>
      </c>
      <c r="F61" s="9" t="s">
        <v>17</v>
      </c>
      <c r="G61" s="1" t="s">
        <v>99</v>
      </c>
      <c r="H61" s="1" t="s">
        <v>19</v>
      </c>
      <c r="I61" s="3" t="s">
        <v>100</v>
      </c>
      <c r="J61" s="3">
        <v>55</v>
      </c>
      <c r="K61" s="2" t="s">
        <v>101</v>
      </c>
      <c r="L61" s="1" t="s">
        <v>102</v>
      </c>
    </row>
    <row r="62" spans="1:12" ht="48.95" customHeight="1" x14ac:dyDescent="0.25">
      <c r="A62" s="14"/>
      <c r="B62" s="14"/>
      <c r="C62" s="14"/>
      <c r="D62" s="14"/>
      <c r="E62" s="1" t="s">
        <v>120</v>
      </c>
      <c r="F62" s="9" t="s">
        <v>17</v>
      </c>
      <c r="G62" s="1" t="s">
        <v>29</v>
      </c>
      <c r="H62" s="1" t="s">
        <v>19</v>
      </c>
      <c r="I62" s="3" t="s">
        <v>30</v>
      </c>
      <c r="J62" s="3">
        <v>160</v>
      </c>
      <c r="K62" s="2" t="s">
        <v>31</v>
      </c>
      <c r="L62" s="1" t="s">
        <v>32</v>
      </c>
    </row>
    <row r="63" spans="1:12" ht="34.5" customHeight="1" x14ac:dyDescent="0.25">
      <c r="A63" s="15"/>
      <c r="B63" s="15"/>
      <c r="C63" s="15"/>
      <c r="D63" s="15"/>
      <c r="E63" s="1" t="s">
        <v>121</v>
      </c>
      <c r="F63" s="9" t="s">
        <v>17</v>
      </c>
      <c r="G63" s="1" t="s">
        <v>34</v>
      </c>
      <c r="H63" s="1" t="s">
        <v>19</v>
      </c>
      <c r="I63" s="3" t="s">
        <v>35</v>
      </c>
      <c r="J63" s="3">
        <v>186</v>
      </c>
      <c r="K63" s="2" t="s">
        <v>36</v>
      </c>
      <c r="L63" s="1" t="s">
        <v>37</v>
      </c>
    </row>
    <row r="64" spans="1:12" ht="34.5" customHeight="1" x14ac:dyDescent="0.25">
      <c r="A64" s="18">
        <v>17</v>
      </c>
      <c r="B64" s="16" t="s">
        <v>122</v>
      </c>
      <c r="C64" s="13" t="s">
        <v>91</v>
      </c>
      <c r="D64" s="13" t="s">
        <v>63</v>
      </c>
      <c r="E64" s="1" t="s">
        <v>123</v>
      </c>
      <c r="F64" s="11" t="s">
        <v>55</v>
      </c>
      <c r="G64" s="1" t="s">
        <v>94</v>
      </c>
      <c r="H64" s="1" t="s">
        <v>19</v>
      </c>
      <c r="I64" s="3" t="s">
        <v>95</v>
      </c>
      <c r="J64" s="3">
        <v>60</v>
      </c>
      <c r="K64" s="2" t="s">
        <v>96</v>
      </c>
      <c r="L64" s="1" t="s">
        <v>97</v>
      </c>
    </row>
    <row r="65" spans="1:12" ht="34.5" customHeight="1" x14ac:dyDescent="0.25">
      <c r="A65" s="14"/>
      <c r="B65" s="14"/>
      <c r="C65" s="14"/>
      <c r="D65" s="14"/>
      <c r="E65" s="1" t="s">
        <v>124</v>
      </c>
      <c r="F65" s="9" t="s">
        <v>17</v>
      </c>
      <c r="G65" s="1" t="s">
        <v>125</v>
      </c>
      <c r="H65" s="1" t="s">
        <v>19</v>
      </c>
      <c r="I65" s="3" t="s">
        <v>95</v>
      </c>
      <c r="J65" s="3">
        <v>60</v>
      </c>
      <c r="K65" s="2" t="s">
        <v>96</v>
      </c>
      <c r="L65" s="1" t="s">
        <v>126</v>
      </c>
    </row>
    <row r="66" spans="1:12" ht="48.95" customHeight="1" x14ac:dyDescent="0.25">
      <c r="A66" s="14"/>
      <c r="B66" s="14"/>
      <c r="C66" s="14"/>
      <c r="D66" s="14"/>
      <c r="E66" s="1" t="s">
        <v>120</v>
      </c>
      <c r="F66" s="9" t="s">
        <v>17</v>
      </c>
      <c r="G66" s="1" t="s">
        <v>29</v>
      </c>
      <c r="H66" s="1" t="s">
        <v>19</v>
      </c>
      <c r="I66" s="3" t="s">
        <v>30</v>
      </c>
      <c r="J66" s="3">
        <v>160</v>
      </c>
      <c r="K66" s="2" t="s">
        <v>31</v>
      </c>
      <c r="L66" s="1" t="s">
        <v>32</v>
      </c>
    </row>
    <row r="67" spans="1:12" ht="34.5" customHeight="1" x14ac:dyDescent="0.25">
      <c r="A67" s="15"/>
      <c r="B67" s="15"/>
      <c r="C67" s="15"/>
      <c r="D67" s="15"/>
      <c r="E67" s="1" t="s">
        <v>121</v>
      </c>
      <c r="F67" s="9" t="s">
        <v>17</v>
      </c>
      <c r="G67" s="1" t="s">
        <v>34</v>
      </c>
      <c r="H67" s="1" t="s">
        <v>19</v>
      </c>
      <c r="I67" s="3" t="s">
        <v>35</v>
      </c>
      <c r="J67" s="3">
        <v>186</v>
      </c>
      <c r="K67" s="2" t="s">
        <v>36</v>
      </c>
      <c r="L67" s="1" t="s">
        <v>37</v>
      </c>
    </row>
    <row r="68" spans="1:12" ht="34.5" customHeight="1" x14ac:dyDescent="0.25">
      <c r="A68" s="18">
        <v>18</v>
      </c>
      <c r="B68" s="16" t="s">
        <v>127</v>
      </c>
      <c r="C68" s="13" t="s">
        <v>91</v>
      </c>
      <c r="D68" s="13" t="s">
        <v>63</v>
      </c>
      <c r="E68" s="1" t="s">
        <v>128</v>
      </c>
      <c r="F68" s="9" t="s">
        <v>17</v>
      </c>
      <c r="G68" s="1" t="s">
        <v>129</v>
      </c>
      <c r="H68" s="1" t="s">
        <v>130</v>
      </c>
      <c r="I68" s="3" t="s">
        <v>131</v>
      </c>
      <c r="J68" s="3">
        <v>10</v>
      </c>
      <c r="K68" s="2" t="s">
        <v>132</v>
      </c>
      <c r="L68" s="1" t="s">
        <v>133</v>
      </c>
    </row>
    <row r="69" spans="1:12" ht="48.95" customHeight="1" x14ac:dyDescent="0.25">
      <c r="A69" s="14"/>
      <c r="B69" s="14"/>
      <c r="C69" s="14"/>
      <c r="D69" s="14"/>
      <c r="E69" s="1" t="s">
        <v>120</v>
      </c>
      <c r="F69" s="9" t="s">
        <v>17</v>
      </c>
      <c r="G69" s="1" t="s">
        <v>29</v>
      </c>
      <c r="H69" s="1" t="s">
        <v>19</v>
      </c>
      <c r="I69" s="3" t="s">
        <v>30</v>
      </c>
      <c r="J69" s="3">
        <v>160</v>
      </c>
      <c r="K69" s="2" t="s">
        <v>31</v>
      </c>
      <c r="L69" s="1" t="s">
        <v>32</v>
      </c>
    </row>
    <row r="70" spans="1:12" ht="34.5" customHeight="1" x14ac:dyDescent="0.25">
      <c r="A70" s="15"/>
      <c r="B70" s="15"/>
      <c r="C70" s="15"/>
      <c r="D70" s="15"/>
      <c r="E70" s="1" t="s">
        <v>121</v>
      </c>
      <c r="F70" s="9" t="s">
        <v>17</v>
      </c>
      <c r="G70" s="1" t="s">
        <v>34</v>
      </c>
      <c r="H70" s="1" t="s">
        <v>19</v>
      </c>
      <c r="I70" s="3" t="s">
        <v>35</v>
      </c>
      <c r="J70" s="3">
        <v>186</v>
      </c>
      <c r="K70" s="2" t="s">
        <v>36</v>
      </c>
      <c r="L70" s="1" t="s">
        <v>37</v>
      </c>
    </row>
    <row r="71" spans="1:12" ht="34.5" customHeight="1" x14ac:dyDescent="0.25">
      <c r="A71" s="18">
        <v>19</v>
      </c>
      <c r="B71" s="16" t="s">
        <v>134</v>
      </c>
      <c r="C71" s="13" t="s">
        <v>91</v>
      </c>
      <c r="D71" s="13" t="s">
        <v>135</v>
      </c>
      <c r="E71" s="1" t="s">
        <v>136</v>
      </c>
      <c r="F71" s="11" t="s">
        <v>55</v>
      </c>
      <c r="G71" s="1" t="s">
        <v>94</v>
      </c>
      <c r="H71" s="1" t="s">
        <v>19</v>
      </c>
      <c r="I71" s="3" t="s">
        <v>95</v>
      </c>
      <c r="J71" s="3">
        <v>60</v>
      </c>
      <c r="K71" s="2" t="s">
        <v>96</v>
      </c>
      <c r="L71" s="1" t="s">
        <v>97</v>
      </c>
    </row>
    <row r="72" spans="1:12" ht="48.95" customHeight="1" x14ac:dyDescent="0.25">
      <c r="A72" s="14"/>
      <c r="B72" s="14"/>
      <c r="C72" s="14"/>
      <c r="D72" s="14"/>
      <c r="E72" s="1" t="s">
        <v>137</v>
      </c>
      <c r="F72" s="9" t="s">
        <v>17</v>
      </c>
      <c r="G72" s="1" t="s">
        <v>29</v>
      </c>
      <c r="H72" s="1" t="s">
        <v>19</v>
      </c>
      <c r="I72" s="3" t="s">
        <v>30</v>
      </c>
      <c r="J72" s="3">
        <v>160</v>
      </c>
      <c r="K72" s="2" t="s">
        <v>31</v>
      </c>
      <c r="L72" s="1" t="s">
        <v>32</v>
      </c>
    </row>
    <row r="73" spans="1:12" ht="34.5" customHeight="1" x14ac:dyDescent="0.25">
      <c r="A73" s="15"/>
      <c r="B73" s="15"/>
      <c r="C73" s="15"/>
      <c r="D73" s="15"/>
      <c r="E73" s="1" t="s">
        <v>138</v>
      </c>
      <c r="F73" s="9" t="s">
        <v>17</v>
      </c>
      <c r="G73" s="1" t="s">
        <v>34</v>
      </c>
      <c r="H73" s="1" t="s">
        <v>19</v>
      </c>
      <c r="I73" s="3" t="s">
        <v>35</v>
      </c>
      <c r="J73" s="3">
        <v>186</v>
      </c>
      <c r="K73" s="2" t="s">
        <v>36</v>
      </c>
      <c r="L73" s="1" t="s">
        <v>37</v>
      </c>
    </row>
    <row r="74" spans="1:12" ht="21.75" customHeight="1" x14ac:dyDescent="0.25">
      <c r="A74" s="22" t="s">
        <v>139</v>
      </c>
      <c r="B74" s="20"/>
      <c r="C74" s="20"/>
      <c r="D74" s="20"/>
      <c r="E74" s="20"/>
      <c r="F74" s="20"/>
      <c r="G74" s="20"/>
      <c r="H74" s="20"/>
      <c r="I74" s="20"/>
      <c r="J74" s="20"/>
      <c r="K74" s="21"/>
      <c r="L74" s="1"/>
    </row>
    <row r="75" spans="1:12" ht="34.5" customHeight="1" x14ac:dyDescent="0.25">
      <c r="A75" s="3">
        <v>20</v>
      </c>
      <c r="B75" s="2" t="s">
        <v>140</v>
      </c>
      <c r="C75" s="1" t="s">
        <v>141</v>
      </c>
      <c r="D75" s="1" t="s">
        <v>142</v>
      </c>
      <c r="E75" s="1" t="s">
        <v>143</v>
      </c>
      <c r="F75" s="9" t="s">
        <v>17</v>
      </c>
      <c r="G75" s="1" t="s">
        <v>144</v>
      </c>
      <c r="H75" s="1" t="s">
        <v>19</v>
      </c>
      <c r="I75" s="3" t="s">
        <v>25</v>
      </c>
      <c r="J75" s="3">
        <v>32</v>
      </c>
      <c r="K75" s="2" t="s">
        <v>26</v>
      </c>
      <c r="L75" s="1" t="s">
        <v>145</v>
      </c>
    </row>
  </sheetData>
  <mergeCells count="80">
    <mergeCell ref="D3:D6"/>
    <mergeCell ref="D52:D54"/>
    <mergeCell ref="A14:A17"/>
    <mergeCell ref="A61:A63"/>
    <mergeCell ref="C23:C26"/>
    <mergeCell ref="C32:C35"/>
    <mergeCell ref="D36:D38"/>
    <mergeCell ref="B18:B22"/>
    <mergeCell ref="C10:C13"/>
    <mergeCell ref="B14:B17"/>
    <mergeCell ref="B23:B26"/>
    <mergeCell ref="C18:C22"/>
    <mergeCell ref="D49:D51"/>
    <mergeCell ref="B40:B43"/>
    <mergeCell ref="B58:B60"/>
    <mergeCell ref="D27:D31"/>
    <mergeCell ref="A3:A6"/>
    <mergeCell ref="C68:C70"/>
    <mergeCell ref="B10:B13"/>
    <mergeCell ref="A36:A38"/>
    <mergeCell ref="B52:B54"/>
    <mergeCell ref="A44:K44"/>
    <mergeCell ref="A40:A43"/>
    <mergeCell ref="A39:K39"/>
    <mergeCell ref="D71:D73"/>
    <mergeCell ref="C27:C31"/>
    <mergeCell ref="D58:D60"/>
    <mergeCell ref="D40:D43"/>
    <mergeCell ref="B71:B73"/>
    <mergeCell ref="A74:K74"/>
    <mergeCell ref="A23:A26"/>
    <mergeCell ref="D61:D63"/>
    <mergeCell ref="B27:B31"/>
    <mergeCell ref="D14:D17"/>
    <mergeCell ref="B61:B63"/>
    <mergeCell ref="D23:D26"/>
    <mergeCell ref="A27:A31"/>
    <mergeCell ref="B64:B67"/>
    <mergeCell ref="D64:D67"/>
    <mergeCell ref="A55:A57"/>
    <mergeCell ref="C55:C57"/>
    <mergeCell ref="B45:B48"/>
    <mergeCell ref="A71:A73"/>
    <mergeCell ref="C71:C73"/>
    <mergeCell ref="B32:B35"/>
    <mergeCell ref="D32:D35"/>
    <mergeCell ref="C58:C60"/>
    <mergeCell ref="C40:C43"/>
    <mergeCell ref="C49:C51"/>
    <mergeCell ref="A2:K2"/>
    <mergeCell ref="A10:A13"/>
    <mergeCell ref="C3:C6"/>
    <mergeCell ref="C52:C54"/>
    <mergeCell ref="D7:D9"/>
    <mergeCell ref="D10:D13"/>
    <mergeCell ref="C36:C38"/>
    <mergeCell ref="A18:A22"/>
    <mergeCell ref="B49:B51"/>
    <mergeCell ref="D18:D22"/>
    <mergeCell ref="A32:A35"/>
    <mergeCell ref="A7:A9"/>
    <mergeCell ref="D68:D70"/>
    <mergeCell ref="B55:B57"/>
    <mergeCell ref="A45:A48"/>
    <mergeCell ref="D55:D57"/>
    <mergeCell ref="C45:C48"/>
    <mergeCell ref="A68:A70"/>
    <mergeCell ref="A58:A60"/>
    <mergeCell ref="A52:A54"/>
    <mergeCell ref="D45:D48"/>
    <mergeCell ref="A49:A51"/>
    <mergeCell ref="A64:A67"/>
    <mergeCell ref="C14:C17"/>
    <mergeCell ref="C61:C63"/>
    <mergeCell ref="B68:B70"/>
    <mergeCell ref="C64:C67"/>
    <mergeCell ref="B3:B6"/>
    <mergeCell ref="B36:B38"/>
    <mergeCell ref="C7:C9"/>
    <mergeCell ref="B7:B9"/>
  </mergeCells>
  <hyperlinks>
    <hyperlink ref="B3" r:id="rId1" xr:uid="{00000000-0004-0000-0100-000000000000}"/>
    <hyperlink ref="D3" r:id="rId2" xr:uid="{00000000-0004-0000-0100-000001000000}"/>
    <hyperlink ref="K3" r:id="rId3" xr:uid="{00000000-0004-0000-0100-000002000000}"/>
    <hyperlink ref="K4" r:id="rId4" xr:uid="{00000000-0004-0000-0100-000003000000}"/>
    <hyperlink ref="K5" r:id="rId5" xr:uid="{00000000-0004-0000-0100-000004000000}"/>
    <hyperlink ref="K6" r:id="rId6" xr:uid="{00000000-0004-0000-0100-000005000000}"/>
    <hyperlink ref="B7" r:id="rId7" xr:uid="{00000000-0004-0000-0100-000006000000}"/>
    <hyperlink ref="D7" r:id="rId8" xr:uid="{00000000-0004-0000-0100-000007000000}"/>
    <hyperlink ref="K7" r:id="rId9" xr:uid="{00000000-0004-0000-0100-000008000000}"/>
    <hyperlink ref="K8" r:id="rId10" xr:uid="{00000000-0004-0000-0100-000009000000}"/>
    <hyperlink ref="K9" r:id="rId11" xr:uid="{00000000-0004-0000-0100-00000A000000}"/>
    <hyperlink ref="B10" r:id="rId12" xr:uid="{00000000-0004-0000-0100-00000B000000}"/>
    <hyperlink ref="D10" r:id="rId13" xr:uid="{00000000-0004-0000-0100-00000C000000}"/>
    <hyperlink ref="K10" r:id="rId14" xr:uid="{00000000-0004-0000-0100-00000D000000}"/>
    <hyperlink ref="K11" r:id="rId15" xr:uid="{00000000-0004-0000-0100-00000E000000}"/>
    <hyperlink ref="K12" r:id="rId16" xr:uid="{00000000-0004-0000-0100-00000F000000}"/>
    <hyperlink ref="K13" r:id="rId17" xr:uid="{00000000-0004-0000-0100-000010000000}"/>
    <hyperlink ref="B14" r:id="rId18" xr:uid="{00000000-0004-0000-0100-000011000000}"/>
    <hyperlink ref="D14" r:id="rId19" xr:uid="{00000000-0004-0000-0100-000012000000}"/>
    <hyperlink ref="K14" r:id="rId20" xr:uid="{00000000-0004-0000-0100-000013000000}"/>
    <hyperlink ref="K15" r:id="rId21" xr:uid="{00000000-0004-0000-0100-000014000000}"/>
    <hyperlink ref="K16" r:id="rId22" xr:uid="{00000000-0004-0000-0100-000015000000}"/>
    <hyperlink ref="B18" r:id="rId23" xr:uid="{00000000-0004-0000-0100-000016000000}"/>
    <hyperlink ref="K18" r:id="rId24" xr:uid="{00000000-0004-0000-0100-000017000000}"/>
    <hyperlink ref="K19" r:id="rId25" xr:uid="{00000000-0004-0000-0100-000018000000}"/>
    <hyperlink ref="K20" r:id="rId26" xr:uid="{00000000-0004-0000-0100-000019000000}"/>
    <hyperlink ref="K21" r:id="rId27" xr:uid="{00000000-0004-0000-0100-00001A000000}"/>
    <hyperlink ref="B23" r:id="rId28" xr:uid="{00000000-0004-0000-0100-00001B000000}"/>
    <hyperlink ref="D23" r:id="rId29" xr:uid="{00000000-0004-0000-0100-00001C000000}"/>
    <hyperlink ref="K23" r:id="rId30" xr:uid="{00000000-0004-0000-0100-00001D000000}"/>
    <hyperlink ref="K24" r:id="rId31" xr:uid="{00000000-0004-0000-0100-00001E000000}"/>
    <hyperlink ref="K25" r:id="rId32" xr:uid="{00000000-0004-0000-0100-00001F000000}"/>
    <hyperlink ref="K26" r:id="rId33" xr:uid="{00000000-0004-0000-0100-000020000000}"/>
    <hyperlink ref="B27" r:id="rId34" xr:uid="{00000000-0004-0000-0100-000021000000}"/>
    <hyperlink ref="K27" r:id="rId35" xr:uid="{00000000-0004-0000-0100-000022000000}"/>
    <hyperlink ref="K28" r:id="rId36" xr:uid="{00000000-0004-0000-0100-000023000000}"/>
    <hyperlink ref="K29" r:id="rId37" xr:uid="{00000000-0004-0000-0100-000024000000}"/>
    <hyperlink ref="K30" r:id="rId38" xr:uid="{00000000-0004-0000-0100-000025000000}"/>
    <hyperlink ref="B32" r:id="rId39" xr:uid="{00000000-0004-0000-0100-000026000000}"/>
    <hyperlink ref="K32" r:id="rId40" xr:uid="{00000000-0004-0000-0100-000027000000}"/>
    <hyperlink ref="K33" r:id="rId41" xr:uid="{00000000-0004-0000-0100-000028000000}"/>
    <hyperlink ref="K34" r:id="rId42" xr:uid="{00000000-0004-0000-0100-000029000000}"/>
    <hyperlink ref="K35" r:id="rId43" xr:uid="{00000000-0004-0000-0100-00002A000000}"/>
    <hyperlink ref="B36" r:id="rId44" xr:uid="{00000000-0004-0000-0100-00002B000000}"/>
    <hyperlink ref="K36" r:id="rId45" xr:uid="{00000000-0004-0000-0100-00002C000000}"/>
    <hyperlink ref="K37" r:id="rId46" xr:uid="{00000000-0004-0000-0100-00002D000000}"/>
    <hyperlink ref="K38" r:id="rId47" xr:uid="{00000000-0004-0000-0100-00002E000000}"/>
    <hyperlink ref="B40" r:id="rId48" xr:uid="{00000000-0004-0000-0100-00002F000000}"/>
    <hyperlink ref="K40" r:id="rId49" xr:uid="{00000000-0004-0000-0100-000030000000}"/>
    <hyperlink ref="K41" r:id="rId50" xr:uid="{00000000-0004-0000-0100-000031000000}"/>
    <hyperlink ref="K42" r:id="rId51" xr:uid="{00000000-0004-0000-0100-000032000000}"/>
    <hyperlink ref="K43" r:id="rId52" xr:uid="{00000000-0004-0000-0100-000033000000}"/>
    <hyperlink ref="B45" r:id="rId53" xr:uid="{00000000-0004-0000-0100-000034000000}"/>
    <hyperlink ref="D45" r:id="rId54" xr:uid="{00000000-0004-0000-0100-000035000000}"/>
    <hyperlink ref="K45" r:id="rId55" xr:uid="{00000000-0004-0000-0100-000036000000}"/>
    <hyperlink ref="K46" r:id="rId56" xr:uid="{00000000-0004-0000-0100-000037000000}"/>
    <hyperlink ref="K47" r:id="rId57" xr:uid="{00000000-0004-0000-0100-000038000000}"/>
    <hyperlink ref="K48" r:id="rId58" xr:uid="{00000000-0004-0000-0100-000039000000}"/>
    <hyperlink ref="B49" r:id="rId59" xr:uid="{00000000-0004-0000-0100-00003A000000}"/>
    <hyperlink ref="D49" r:id="rId60" xr:uid="{00000000-0004-0000-0100-00003B000000}"/>
    <hyperlink ref="K49" r:id="rId61" xr:uid="{00000000-0004-0000-0100-00003C000000}"/>
    <hyperlink ref="K50" r:id="rId62" xr:uid="{00000000-0004-0000-0100-00003D000000}"/>
    <hyperlink ref="K51" r:id="rId63" xr:uid="{00000000-0004-0000-0100-00003E000000}"/>
    <hyperlink ref="B52" r:id="rId64" xr:uid="{00000000-0004-0000-0100-00003F000000}"/>
    <hyperlink ref="K52" r:id="rId65" xr:uid="{00000000-0004-0000-0100-000040000000}"/>
    <hyperlink ref="K53" r:id="rId66" xr:uid="{00000000-0004-0000-0100-000041000000}"/>
    <hyperlink ref="K54" r:id="rId67" xr:uid="{00000000-0004-0000-0100-000042000000}"/>
    <hyperlink ref="B55" r:id="rId68" xr:uid="{00000000-0004-0000-0100-000043000000}"/>
    <hyperlink ref="D55" r:id="rId69" xr:uid="{00000000-0004-0000-0100-000044000000}"/>
    <hyperlink ref="K55" r:id="rId70" xr:uid="{00000000-0004-0000-0100-000045000000}"/>
    <hyperlink ref="K56" r:id="rId71" xr:uid="{00000000-0004-0000-0100-000046000000}"/>
    <hyperlink ref="K57" r:id="rId72" xr:uid="{00000000-0004-0000-0100-000047000000}"/>
    <hyperlink ref="B58" r:id="rId73" xr:uid="{00000000-0004-0000-0100-000048000000}"/>
    <hyperlink ref="K59" r:id="rId74" xr:uid="{00000000-0004-0000-0100-000049000000}"/>
    <hyperlink ref="K60" r:id="rId75" xr:uid="{00000000-0004-0000-0100-00004A000000}"/>
    <hyperlink ref="B61" r:id="rId76" xr:uid="{00000000-0004-0000-0100-00004B000000}"/>
    <hyperlink ref="D61" r:id="rId77" xr:uid="{00000000-0004-0000-0100-00004C000000}"/>
    <hyperlink ref="K61" r:id="rId78" xr:uid="{00000000-0004-0000-0100-00004D000000}"/>
    <hyperlink ref="K62" r:id="rId79" xr:uid="{00000000-0004-0000-0100-00004E000000}"/>
    <hyperlink ref="K63" r:id="rId80" xr:uid="{00000000-0004-0000-0100-00004F000000}"/>
    <hyperlink ref="B64" r:id="rId81" xr:uid="{00000000-0004-0000-0100-000050000000}"/>
    <hyperlink ref="K64" r:id="rId82" xr:uid="{00000000-0004-0000-0100-000051000000}"/>
    <hyperlink ref="K65" r:id="rId83" xr:uid="{00000000-0004-0000-0100-000052000000}"/>
    <hyperlink ref="K66" r:id="rId84" xr:uid="{00000000-0004-0000-0100-000053000000}"/>
    <hyperlink ref="K67" r:id="rId85" xr:uid="{00000000-0004-0000-0100-000054000000}"/>
    <hyperlink ref="B68" r:id="rId86" xr:uid="{00000000-0004-0000-0100-000055000000}"/>
    <hyperlink ref="K68" r:id="rId87" xr:uid="{00000000-0004-0000-0100-000056000000}"/>
    <hyperlink ref="K69" r:id="rId88" xr:uid="{00000000-0004-0000-0100-000057000000}"/>
    <hyperlink ref="K70" r:id="rId89" xr:uid="{00000000-0004-0000-0100-000058000000}"/>
    <hyperlink ref="B71" r:id="rId90" xr:uid="{00000000-0004-0000-0100-000059000000}"/>
    <hyperlink ref="K71" r:id="rId91" xr:uid="{00000000-0004-0000-0100-00005A000000}"/>
    <hyperlink ref="K72" r:id="rId92" xr:uid="{00000000-0004-0000-0100-00005B000000}"/>
    <hyperlink ref="K73" r:id="rId93" xr:uid="{00000000-0004-0000-0100-00005C000000}"/>
    <hyperlink ref="B75" r:id="rId94" xr:uid="{00000000-0004-0000-0100-00005D000000}"/>
    <hyperlink ref="K75" r:id="rId95" xr:uid="{00000000-0004-0000-0100-00005E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11" customWidth="1"/>
    <col min="2" max="2" width="28" customWidth="1"/>
    <col min="3" max="3" width="58" customWidth="1"/>
    <col min="4" max="4" width="18" customWidth="1"/>
    <col min="5" max="5" width="9" customWidth="1"/>
    <col min="6" max="6" width="13" customWidth="1"/>
    <col min="7" max="7" width="48" customWidth="1"/>
    <col min="8" max="8" width="24" customWidth="1"/>
    <col min="9" max="9" width="14" customWidth="1"/>
  </cols>
  <sheetData>
    <row r="1" spans="1:9" ht="63.2" customHeight="1" x14ac:dyDescent="0.25">
      <c r="A1" s="8" t="s">
        <v>162</v>
      </c>
      <c r="B1" s="8" t="s">
        <v>4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163</v>
      </c>
      <c r="H1" s="8" t="s">
        <v>164</v>
      </c>
      <c r="I1" s="8" t="s">
        <v>165</v>
      </c>
    </row>
    <row r="2" spans="1:9" ht="34.5" customHeight="1" x14ac:dyDescent="0.25">
      <c r="A2" s="3" t="s">
        <v>22</v>
      </c>
      <c r="B2" s="1" t="s">
        <v>166</v>
      </c>
      <c r="C2" s="1" t="s">
        <v>18</v>
      </c>
      <c r="D2" s="1" t="s">
        <v>19</v>
      </c>
      <c r="E2" s="3" t="s">
        <v>20</v>
      </c>
      <c r="F2" s="3">
        <v>52</v>
      </c>
      <c r="G2" s="1" t="s">
        <v>167</v>
      </c>
      <c r="H2" s="12" t="s">
        <v>21</v>
      </c>
      <c r="I2" s="3">
        <f>COUNTIF(Сводная!$L$2:$L$75,A2)</f>
        <v>8</v>
      </c>
    </row>
    <row r="3" spans="1:9" ht="34.5" customHeight="1" x14ac:dyDescent="0.25">
      <c r="A3" s="3" t="s">
        <v>27</v>
      </c>
      <c r="B3" s="1" t="s">
        <v>168</v>
      </c>
      <c r="C3" s="1" t="s">
        <v>24</v>
      </c>
      <c r="D3" s="1" t="s">
        <v>19</v>
      </c>
      <c r="E3" s="3" t="s">
        <v>25</v>
      </c>
      <c r="F3" s="3">
        <v>32</v>
      </c>
      <c r="G3" s="1" t="s">
        <v>169</v>
      </c>
      <c r="H3" s="12" t="s">
        <v>26</v>
      </c>
      <c r="I3" s="3">
        <f>COUNTIF(Сводная!$L$2:$L$75,A3)</f>
        <v>5</v>
      </c>
    </row>
    <row r="4" spans="1:9" ht="34.5" customHeight="1" x14ac:dyDescent="0.25">
      <c r="A4" s="3" t="s">
        <v>57</v>
      </c>
      <c r="B4" s="1" t="s">
        <v>170</v>
      </c>
      <c r="C4" s="1" t="s">
        <v>56</v>
      </c>
      <c r="D4" s="1" t="s">
        <v>19</v>
      </c>
      <c r="E4" s="3" t="s">
        <v>25</v>
      </c>
      <c r="F4" s="3">
        <v>32</v>
      </c>
      <c r="G4" s="1" t="s">
        <v>169</v>
      </c>
      <c r="H4" s="12" t="s">
        <v>26</v>
      </c>
      <c r="I4" s="3">
        <f>COUNTIF(Сводная!$L$2:$L$75,A4)</f>
        <v>1</v>
      </c>
    </row>
    <row r="5" spans="1:9" ht="48.95" customHeight="1" x14ac:dyDescent="0.25">
      <c r="A5" s="3" t="s">
        <v>32</v>
      </c>
      <c r="B5" s="1" t="s">
        <v>171</v>
      </c>
      <c r="C5" s="1" t="s">
        <v>29</v>
      </c>
      <c r="D5" s="1" t="s">
        <v>19</v>
      </c>
      <c r="E5" s="3" t="s">
        <v>30</v>
      </c>
      <c r="F5" s="3">
        <v>160</v>
      </c>
      <c r="G5" s="1" t="s">
        <v>172</v>
      </c>
      <c r="H5" s="12" t="s">
        <v>31</v>
      </c>
      <c r="I5" s="3">
        <f>COUNTIF(Сводная!$L$2:$L$75,A5)</f>
        <v>19</v>
      </c>
    </row>
    <row r="6" spans="1:9" ht="42.75" customHeight="1" x14ac:dyDescent="0.25">
      <c r="A6" s="3" t="s">
        <v>37</v>
      </c>
      <c r="B6" s="1" t="s">
        <v>173</v>
      </c>
      <c r="C6" s="1" t="s">
        <v>34</v>
      </c>
      <c r="D6" s="1" t="s">
        <v>19</v>
      </c>
      <c r="E6" s="3" t="s">
        <v>35</v>
      </c>
      <c r="F6" s="3">
        <v>186</v>
      </c>
      <c r="G6" s="1" t="s">
        <v>174</v>
      </c>
      <c r="H6" s="12" t="s">
        <v>36</v>
      </c>
      <c r="I6" s="3">
        <f>COUNTIF(Сводная!$L$2:$L$75,A6)</f>
        <v>19</v>
      </c>
    </row>
    <row r="7" spans="1:9" ht="34.5" customHeight="1" x14ac:dyDescent="0.25">
      <c r="A7" s="3" t="s">
        <v>83</v>
      </c>
      <c r="B7" s="1" t="s">
        <v>175</v>
      </c>
      <c r="C7" s="1" t="s">
        <v>79</v>
      </c>
      <c r="D7" s="1" t="s">
        <v>80</v>
      </c>
      <c r="E7" s="3" t="s">
        <v>81</v>
      </c>
      <c r="F7" s="3">
        <v>13</v>
      </c>
      <c r="G7" s="1" t="s">
        <v>176</v>
      </c>
      <c r="H7" s="12" t="s">
        <v>82</v>
      </c>
      <c r="I7" s="3">
        <f>COUNTIF(Сводная!$L$2:$L$75,A7)</f>
        <v>1</v>
      </c>
    </row>
    <row r="8" spans="1:9" ht="34.5" customHeight="1" x14ac:dyDescent="0.25">
      <c r="A8" s="3" t="s">
        <v>88</v>
      </c>
      <c r="B8" s="1" t="s">
        <v>177</v>
      </c>
      <c r="C8" s="1" t="s">
        <v>85</v>
      </c>
      <c r="D8" s="1" t="s">
        <v>19</v>
      </c>
      <c r="E8" s="3" t="s">
        <v>86</v>
      </c>
      <c r="F8" s="3">
        <v>53</v>
      </c>
      <c r="G8" s="1" t="s">
        <v>178</v>
      </c>
      <c r="H8" s="12" t="s">
        <v>87</v>
      </c>
      <c r="I8" s="3">
        <f>COUNTIF(Сводная!$L$2:$L$75,A8)</f>
        <v>1</v>
      </c>
    </row>
    <row r="9" spans="1:9" ht="48.95" customHeight="1" x14ac:dyDescent="0.25">
      <c r="A9" s="3" t="s">
        <v>102</v>
      </c>
      <c r="B9" s="1" t="s">
        <v>179</v>
      </c>
      <c r="C9" s="1" t="s">
        <v>99</v>
      </c>
      <c r="D9" s="1" t="s">
        <v>19</v>
      </c>
      <c r="E9" s="3" t="s">
        <v>100</v>
      </c>
      <c r="F9" s="3">
        <v>55</v>
      </c>
      <c r="G9" s="1" t="s">
        <v>180</v>
      </c>
      <c r="H9" s="12" t="s">
        <v>101</v>
      </c>
      <c r="I9" s="3">
        <f>COUNTIF(Сводная!$L$2:$L$75,A9)</f>
        <v>5</v>
      </c>
    </row>
    <row r="10" spans="1:9" ht="34.5" customHeight="1" x14ac:dyDescent="0.25">
      <c r="A10" s="3" t="s">
        <v>126</v>
      </c>
      <c r="B10" s="1" t="s">
        <v>181</v>
      </c>
      <c r="C10" s="1" t="s">
        <v>125</v>
      </c>
      <c r="D10" s="1" t="s">
        <v>19</v>
      </c>
      <c r="E10" s="3" t="s">
        <v>95</v>
      </c>
      <c r="F10" s="3">
        <v>60</v>
      </c>
      <c r="G10" s="1" t="s">
        <v>182</v>
      </c>
      <c r="H10" s="12" t="s">
        <v>96</v>
      </c>
      <c r="I10" s="3">
        <f>COUNTIF(Сводная!$L$2:$L$75,A10)</f>
        <v>1</v>
      </c>
    </row>
    <row r="11" spans="1:9" ht="34.5" customHeight="1" x14ac:dyDescent="0.25">
      <c r="A11" s="3" t="s">
        <v>97</v>
      </c>
      <c r="B11" s="1" t="s">
        <v>183</v>
      </c>
      <c r="C11" s="1" t="s">
        <v>94</v>
      </c>
      <c r="D11" s="1" t="s">
        <v>19</v>
      </c>
      <c r="E11" s="3" t="s">
        <v>95</v>
      </c>
      <c r="F11" s="3">
        <v>60</v>
      </c>
      <c r="G11" s="1" t="s">
        <v>182</v>
      </c>
      <c r="H11" s="12" t="s">
        <v>96</v>
      </c>
      <c r="I11" s="3">
        <f>COUNTIF(Сводная!$L$2:$L$75,A11)</f>
        <v>3</v>
      </c>
    </row>
    <row r="12" spans="1:9" ht="63.2" customHeight="1" x14ac:dyDescent="0.25">
      <c r="A12" s="3" t="s">
        <v>71</v>
      </c>
      <c r="B12" s="1" t="s">
        <v>184</v>
      </c>
      <c r="C12" s="1" t="s">
        <v>69</v>
      </c>
      <c r="D12" s="1" t="s">
        <v>19</v>
      </c>
      <c r="E12" s="3" t="s">
        <v>70</v>
      </c>
      <c r="F12" s="3">
        <v>52</v>
      </c>
      <c r="G12" s="1" t="s">
        <v>185</v>
      </c>
      <c r="H12" s="12" t="s">
        <v>21</v>
      </c>
      <c r="I12" s="3">
        <f>COUNTIF(Сводная!$L$2:$L$75,A12)</f>
        <v>1</v>
      </c>
    </row>
    <row r="13" spans="1:9" ht="34.5" customHeight="1" x14ac:dyDescent="0.25">
      <c r="A13" s="3" t="s">
        <v>133</v>
      </c>
      <c r="B13" s="1" t="s">
        <v>186</v>
      </c>
      <c r="C13" s="1" t="s">
        <v>129</v>
      </c>
      <c r="D13" s="1" t="s">
        <v>130</v>
      </c>
      <c r="E13" s="3" t="s">
        <v>131</v>
      </c>
      <c r="F13" s="3">
        <v>10</v>
      </c>
      <c r="G13" s="1" t="s">
        <v>187</v>
      </c>
      <c r="H13" s="12" t="s">
        <v>132</v>
      </c>
      <c r="I13" s="3">
        <f>COUNTIF(Сводная!$L$2:$L$75,A13)</f>
        <v>1</v>
      </c>
    </row>
    <row r="14" spans="1:9" ht="34.5" customHeight="1" x14ac:dyDescent="0.25">
      <c r="A14" s="3" t="s">
        <v>145</v>
      </c>
      <c r="B14" s="1" t="s">
        <v>188</v>
      </c>
      <c r="C14" s="1" t="s">
        <v>144</v>
      </c>
      <c r="D14" s="1" t="s">
        <v>19</v>
      </c>
      <c r="E14" s="3" t="s">
        <v>25</v>
      </c>
      <c r="F14" s="3">
        <v>32</v>
      </c>
      <c r="G14" s="1" t="s">
        <v>169</v>
      </c>
      <c r="H14" s="12" t="s">
        <v>26</v>
      </c>
      <c r="I14" s="3">
        <f>COUNTIF(Сводная!$L$2:$L$75,A14)</f>
        <v>1</v>
      </c>
    </row>
  </sheetData>
  <hyperlinks>
    <hyperlink ref="H2" r:id="rId1" xr:uid="{00000000-0004-0000-0200-000000000000}"/>
    <hyperlink ref="H3" r:id="rId2" xr:uid="{00000000-0004-0000-0200-000001000000}"/>
    <hyperlink ref="H4" r:id="rId3" xr:uid="{00000000-0004-0000-0200-000002000000}"/>
    <hyperlink ref="H5" r:id="rId4" xr:uid="{00000000-0004-0000-0200-000003000000}"/>
    <hyperlink ref="H6" r:id="rId5" xr:uid="{00000000-0004-0000-0200-000004000000}"/>
    <hyperlink ref="H7" r:id="rId6" xr:uid="{00000000-0004-0000-0200-000005000000}"/>
    <hyperlink ref="H8" r:id="rId7" xr:uid="{00000000-0004-0000-0200-000006000000}"/>
    <hyperlink ref="H9" r:id="rId8" xr:uid="{00000000-0004-0000-0200-000007000000}"/>
    <hyperlink ref="H10" r:id="rId9" xr:uid="{00000000-0004-0000-0200-000008000000}"/>
    <hyperlink ref="H11" r:id="rId10" xr:uid="{00000000-0004-0000-0200-000009000000}"/>
    <hyperlink ref="H12" r:id="rId11" xr:uid="{00000000-0004-0000-0200-00000A000000}"/>
    <hyperlink ref="H13" r:id="rId12" xr:uid="{00000000-0004-0000-0200-00000B000000}"/>
    <hyperlink ref="H14" r:id="rId13" xr:uid="{00000000-0004-0000-0200-00000C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Выводы</vt:lpstr>
      <vt:lpstr>Сводная</vt:lpstr>
      <vt:lpstr>Требования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2026-10-13T00:13:05Z</dcterms:created>
  <dcterms:modified xsi:type="dcterms:W3CDTF">2026-10-13T14:26:24Z</dcterms:modified>
  <dc:language>en-US</dc:language>
</cp:coreProperties>
</file>